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Suli\vizsgaremek\"/>
    </mc:Choice>
  </mc:AlternateContent>
  <xr:revisionPtr revIDLastSave="0" documentId="13_ncr:1_{8161CEDB-9EE0-485C-80B4-308DBF3D02A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ckend" sheetId="1" r:id="rId1"/>
    <sheet name="Frontend" sheetId="2" r:id="rId2"/>
    <sheet name="Adatbázi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1" i="1" l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00" i="1"/>
  <c r="A131" i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B128" i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16" i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15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</calcChain>
</file>

<file path=xl/sharedStrings.xml><?xml version="1.0" encoding="utf-8"?>
<sst xmlns="http://schemas.openxmlformats.org/spreadsheetml/2006/main" count="1051" uniqueCount="433">
  <si>
    <t>ID</t>
  </si>
  <si>
    <t>Task ID</t>
  </si>
  <si>
    <t>Test Objective</t>
  </si>
  <si>
    <t>Test Steps</t>
  </si>
  <si>
    <t>Expected Result</t>
  </si>
  <si>
    <t>Actual Result</t>
  </si>
  <si>
    <t>Pass/Fail</t>
  </si>
  <si>
    <t>Date</t>
  </si>
  <si>
    <t>Done by:</t>
  </si>
  <si>
    <t>Sikeres user létrehozása</t>
  </si>
  <si>
    <t>Pass</t>
  </si>
  <si>
    <t>Pásztor Kevin</t>
  </si>
  <si>
    <t>Foglalt email cím ellenőrzése</t>
  </si>
  <si>
    <t>201-es kód: User sikeresen létrehozva</t>
  </si>
  <si>
    <t>409-es kód: Üzenetet küldd, hogy az email-cím foglalt</t>
  </si>
  <si>
    <t xml:space="preserve">400-as kód: Üzenetet küldd hogy a jelszónak legalább 6 karakternek kell lennie  </t>
  </si>
  <si>
    <t>Meglévő felhasználó eltávolítása az adatbázisból</t>
  </si>
  <si>
    <t>404-es kód: Not found</t>
  </si>
  <si>
    <t>Fail</t>
  </si>
  <si>
    <t>AddOrder</t>
  </si>
  <si>
    <t>deleteUser</t>
  </si>
  <si>
    <t>createUser</t>
  </si>
  <si>
    <t>Sikeres rendelés leadása</t>
  </si>
  <si>
    <t>201-es kód: Rendelés sikeres leadása</t>
  </si>
  <si>
    <t>DeleteOrder</t>
  </si>
  <si>
    <t>Rendelés sikeres törlése</t>
  </si>
  <si>
    <t>200-as kód:Rendelés sikeres törlése</t>
  </si>
  <si>
    <t>Összes étel lekérdezése</t>
  </si>
  <si>
    <t>200-as kód: Rendelés sikeres törlése</t>
  </si>
  <si>
    <t>200-as kód: Összes rendelés sikeres lekérdezése</t>
  </si>
  <si>
    <t>Egy étel lekérdezése az ID-ja alapján</t>
  </si>
  <si>
    <t>200-as kód: Étel sikeres lekérezése ID alapján</t>
  </si>
  <si>
    <t>Egy étel hozzáadása az adatbázisba</t>
  </si>
  <si>
    <t>500-as kód: Adatbázis hiba</t>
  </si>
  <si>
    <t>201-as kód: Étel sikeres hozzáadása az adatbázishoz</t>
  </si>
  <si>
    <t>Egy étel törlése az adatbázisból</t>
  </si>
  <si>
    <t xml:space="preserve">200-as kód: Sikeresen törlődött </t>
  </si>
  <si>
    <t>200-as kód: Sikeresen törlődött</t>
  </si>
  <si>
    <t>404-es kód: Az étel nem található</t>
  </si>
  <si>
    <t>200-as kód: étel sikeres lekérdezése ID alapján</t>
  </si>
  <si>
    <t>200-as kód: Minden étel az étteremben sikeres lekérdezése</t>
  </si>
  <si>
    <t>Egy étel adatainak módosítása ID alapján</t>
  </si>
  <si>
    <t>415-ös kód: Unsopported media type</t>
  </si>
  <si>
    <t>200-as kód: Étel sikeres frissítése</t>
  </si>
  <si>
    <t>Test Objektive</t>
  </si>
  <si>
    <t>Expeded Result</t>
  </si>
  <si>
    <t>Getting in the register page</t>
  </si>
  <si>
    <t>1. Open the main page 2. click on the register button</t>
  </si>
  <si>
    <t>The register button take you to the registration page</t>
  </si>
  <si>
    <t>Kocsis Szabolcs</t>
  </si>
  <si>
    <t>Username error</t>
  </si>
  <si>
    <t>1. The username row is empty 2. then click the registration button</t>
  </si>
  <si>
    <t>You get one error message</t>
  </si>
  <si>
    <t>Password error</t>
  </si>
  <si>
    <t>1. The password row is empty  2. then click the registration button</t>
  </si>
  <si>
    <t>button</t>
  </si>
  <si>
    <t>1. click the button</t>
  </si>
  <si>
    <t>you will reach the payment page</t>
  </si>
  <si>
    <t>you  reach the payment page</t>
  </si>
  <si>
    <t>restaurants button</t>
  </si>
  <si>
    <t>you will reach the restaurants  page</t>
  </si>
  <si>
    <t>you  reach the restaurants  page</t>
  </si>
  <si>
    <t>navbar buttons</t>
  </si>
  <si>
    <t>Click the registration button</t>
  </si>
  <si>
    <t>you will reach the registration  page</t>
  </si>
  <si>
    <t>you reach the registration  page</t>
  </si>
  <si>
    <t>Click the cart button</t>
  </si>
  <si>
    <t>you will reach the cart  page</t>
  </si>
  <si>
    <t>you  reach the cart  page</t>
  </si>
  <si>
    <t>Main page button</t>
  </si>
  <si>
    <t>you will reach the main page</t>
  </si>
  <si>
    <t>you reach the main page</t>
  </si>
  <si>
    <t>each restaurants page</t>
  </si>
  <si>
    <t>Click  the button of "ugras az oldalra"</t>
  </si>
  <si>
    <t>You will reach the restaurants homepage</t>
  </si>
  <si>
    <t>You  reach the restaurants homepage</t>
  </si>
  <si>
    <t># USERS</t>
  </si>
  <si>
    <t>TestObjektiv</t>
  </si>
  <si>
    <t>TestSteps</t>
  </si>
  <si>
    <t>ExpectedResult</t>
  </si>
  <si>
    <t>ActualResult</t>
  </si>
  <si>
    <t>Done by</t>
  </si>
  <si>
    <t>AddUser tesztelése</t>
  </si>
  <si>
    <t>AddUser('Teszt User','teszt@example.com','hash123','+3612345678','Budapest','customer')</t>
  </si>
  <si>
    <t>Új user létrejön, user_id automatikusan generálva</t>
  </si>
  <si>
    <t>Új user sikeresen létrejött</t>
  </si>
  <si>
    <t>Kuti Levente</t>
  </si>
  <si>
    <t>GetAllUsers tesztelése</t>
  </si>
  <si>
    <t>GetAllUsers()</t>
  </si>
  <si>
    <t>Minden user megjelenik</t>
  </si>
  <si>
    <t>Korábban létrehozott user szerepel</t>
  </si>
  <si>
    <t>UpdateUser tesztelése</t>
  </si>
  <si>
    <t>UpdateUser(1,'Updated Name','updated@example.com','hash123','+36111223344','Debrecen','admin')</t>
  </si>
  <si>
    <t>A user adatai frissültek</t>
  </si>
  <si>
    <t>Adatok sikeresen frissültek</t>
  </si>
  <si>
    <t>DeleteUser tesztelése</t>
  </si>
  <si>
    <t>DeleteUser(1)</t>
  </si>
  <si>
    <t>User törölve</t>
  </si>
  <si>
    <t>Adatbázisból törölve</t>
  </si>
  <si>
    <t>GetUserById tesztelése</t>
  </si>
  <si>
    <t>GetUserById(2)</t>
  </si>
  <si>
    <t>User adatai megjelennek</t>
  </si>
  <si>
    <t>Adatok helyesen jelennek meg</t>
  </si>
  <si>
    <t>CreateUser tesztelése</t>
  </si>
  <si>
    <t>CreateUser('Új User','uj@example.com','ujhash','+36202223344','Szeged','customer')</t>
  </si>
  <si>
    <t># RESTAURANTS</t>
  </si>
  <si>
    <t>AddRestaurant tesztelése</t>
  </si>
  <si>
    <t>AddRestaurant(1,'Pizza Place','Finom pizzák','Budapest','+361234567','11:00-22:00')</t>
  </si>
  <si>
    <t>Új étterem létrehozva</t>
  </si>
  <si>
    <t>Étterem sikeresen létrejött</t>
  </si>
  <si>
    <t>GetAllRestaurants tesztelése</t>
  </si>
  <si>
    <t>GetAllRestaurants()</t>
  </si>
  <si>
    <t>Minden étterem listázva</t>
  </si>
  <si>
    <t>Korábban hozzáadott étterem szerepel</t>
  </si>
  <si>
    <t>UpdateRestaurant tesztelése</t>
  </si>
  <si>
    <t>UpdateRestaurant(1,'Updated Pizza','Új leírás','Debrecen','+361112233','12:00-23:00')</t>
  </si>
  <si>
    <t>Adatok frissítve</t>
  </si>
  <si>
    <t>Étterem adatai frissültek</t>
  </si>
  <si>
    <t>DeleteRestaurant tesztelése</t>
  </si>
  <si>
    <t>DeleteRestaurant(1)</t>
  </si>
  <si>
    <t>Étterem törölve</t>
  </si>
  <si>
    <t>Étterem sikeresen törölve</t>
  </si>
  <si>
    <t># DISHES</t>
  </si>
  <si>
    <t>AddDish tesztelése</t>
  </si>
  <si>
    <t>AddDish(1,'Margherita','Paradicsom, sajt',2290,'',TRUE)</t>
  </si>
  <si>
    <t>Új étel létrehozva</t>
  </si>
  <si>
    <t>Étel sikeresen létrejött</t>
  </si>
  <si>
    <t>GetAllDishes tesztelése</t>
  </si>
  <si>
    <t>GetAllDishes()</t>
  </si>
  <si>
    <t>Minden étel megjelenik</t>
  </si>
  <si>
    <t>Korábban hozzáadott étel szerepel</t>
  </si>
  <si>
    <t>UpdateDish tesztelése</t>
  </si>
  <si>
    <t>UpdateDish(1,'Updated Pizza','Frissített leírás',2490,'',FALSE)</t>
  </si>
  <si>
    <t>Étel adatai frissültek</t>
  </si>
  <si>
    <t>DeleteDish tesztelése</t>
  </si>
  <si>
    <t>DeleteDish(1)</t>
  </si>
  <si>
    <t>Étel törölve</t>
  </si>
  <si>
    <t>Étel sikeresen törölve</t>
  </si>
  <si>
    <t># ORDERS</t>
  </si>
  <si>
    <t>AddOrder tesztelése</t>
  </si>
  <si>
    <t>AddOrder(2,1,'pending',5000)</t>
  </si>
  <si>
    <t>Új rendelés létrehozva</t>
  </si>
  <si>
    <t>Rendelés sikeresen létrejött</t>
  </si>
  <si>
    <t>GetAllOrders tesztelése</t>
  </si>
  <si>
    <t>GetAllOrders()</t>
  </si>
  <si>
    <t>Minden rendelés megjelenik</t>
  </si>
  <si>
    <t>Korábbi rendelés szerepel</t>
  </si>
  <si>
    <t>UpdateOrder tesztelése</t>
  </si>
  <si>
    <t>UpdateOrder(1,'completed',5200)</t>
  </si>
  <si>
    <t>Rendelés frissítve</t>
  </si>
  <si>
    <t>Rendelés státusza frissült</t>
  </si>
  <si>
    <t>DeleteOrder tesztelése</t>
  </si>
  <si>
    <t>DeleteOrder(1)</t>
  </si>
  <si>
    <t>Rendelés törölve</t>
  </si>
  <si>
    <t>Rendelés sikeresen törölve</t>
  </si>
  <si>
    <t># ORDER ITEMS</t>
  </si>
  <si>
    <t>AddOrderItem tesztelése</t>
  </si>
  <si>
    <t>AddOrderItem(1,1,2,2290)</t>
  </si>
  <si>
    <t>Új rendelési tétel létrehozva</t>
  </si>
  <si>
    <t>Tétel sikeresen létrejött</t>
  </si>
  <si>
    <t>GetAllOrderItems tesztelése</t>
  </si>
  <si>
    <t>GetAllOrderItems()</t>
  </si>
  <si>
    <t>Minden rendelési tétel megjelenik</t>
  </si>
  <si>
    <t>Korábbi tétel szerepel</t>
  </si>
  <si>
    <t>UpdateOrderItem tesztelése</t>
  </si>
  <si>
    <t>UpdateOrderItem(1,3,3400)</t>
  </si>
  <si>
    <t>Tétel adatai frissültek</t>
  </si>
  <si>
    <t>DeleteOrderItem tesztelése</t>
  </si>
  <si>
    <t>DeleteOrderItem(1)</t>
  </si>
  <si>
    <t>Tétel törölve</t>
  </si>
  <si>
    <t>Tétel sikeresen törölve</t>
  </si>
  <si>
    <t># PAYMENTS</t>
  </si>
  <si>
    <t>AddPayment tesztelése</t>
  </si>
  <si>
    <t>AddPayment(1,5200,'card','pending')</t>
  </si>
  <si>
    <t>Új fizetés létrehozva</t>
  </si>
  <si>
    <t>Fizetés sikeresen létrejött</t>
  </si>
  <si>
    <t>GetAllPayments tesztelése</t>
  </si>
  <si>
    <t>GetAllPayments()</t>
  </si>
  <si>
    <t>Minden fizetés megjelenik</t>
  </si>
  <si>
    <t>Korábbi fizetés szerepel</t>
  </si>
  <si>
    <t>UpdatePayment tesztelése</t>
  </si>
  <si>
    <t>UpdatePayment(1,'paid')</t>
  </si>
  <si>
    <t>Fizetés státusz frissítve</t>
  </si>
  <si>
    <t>Státusz sikeresen frissült</t>
  </si>
  <si>
    <t>DeletePayment tesztelése</t>
  </si>
  <si>
    <t>DeletePayment(1)</t>
  </si>
  <si>
    <t>Fizetés törölve</t>
  </si>
  <si>
    <t>Fizetés sikeresen törölve</t>
  </si>
  <si>
    <t>Túl rövid jelszó beírása</t>
  </si>
  <si>
    <t>CPG-26</t>
  </si>
  <si>
    <t>CPG-29</t>
  </si>
  <si>
    <t>Egy fizetés hozzáadása az adatbázishoz</t>
  </si>
  <si>
    <t>400-as kód: A megadott rendelés nem létezik</t>
  </si>
  <si>
    <t>201-es kód: A fizetés sikeresen létrehozva</t>
  </si>
  <si>
    <t>Összes fizetés lekérdezése</t>
  </si>
  <si>
    <t>200-as kód: Összes étel sikeresen lekérdezve</t>
  </si>
  <si>
    <t>Egy fizetés törlése</t>
  </si>
  <si>
    <t>200-as kód: A fizetés sikeresen törölve.</t>
  </si>
  <si>
    <t>Egy fizetés lekérdezése egy leadott rendelés alapján</t>
  </si>
  <si>
    <t>200-as kód: Sikeres lekérdezés</t>
  </si>
  <si>
    <t>Egy fizetés lekérdezése a fizetés ID-ja alapján</t>
  </si>
  <si>
    <t>CPG-30</t>
  </si>
  <si>
    <t>Regisztráció során megadott jelszó követelményei</t>
  </si>
  <si>
    <t>400-as kód: A jelszónak tartalmaznia kell legalább egy speciális karaktert.</t>
  </si>
  <si>
    <t>400-as kód: A jelszónak tartalmaznia kell legalább egy nagybetűt.</t>
  </si>
  <si>
    <t xml:space="preserve">400-as kód: Üzenetet küldd hogy a jelszónak legalább 6 karakternek kell lennie </t>
  </si>
  <si>
    <t>201-es kód: Sikeres regisztráció</t>
  </si>
  <si>
    <t>200-as kód: Felhasználó sikeresen eltávolítva</t>
  </si>
  <si>
    <t>Restaurant ID alapján lekérdezi az összes ételt az étteremben</t>
  </si>
  <si>
    <t>Rendelési tétel sikeres létrehozása</t>
  </si>
  <si>
    <t>201-es kód: A rendelési tétel sikeresen létrehozva.</t>
  </si>
  <si>
    <t>CPG-33</t>
  </si>
  <si>
    <t>Rendelés létrehozása</t>
  </si>
  <si>
    <t>201-es kód: A rendelés sikeresen létrehozva.</t>
  </si>
  <si>
    <t>PAss</t>
  </si>
  <si>
    <t>CPG-36</t>
  </si>
  <si>
    <t>Tétel hozzáadása egy megrendeléshez</t>
  </si>
  <si>
    <t>Rendelés ellenőrzése hogy a total_price frissült-e</t>
  </si>
  <si>
    <t>200-as kód: A rendelés értéke 0 maradt</t>
  </si>
  <si>
    <t>200-as kód: A rendelés értéke frissült a rendelés összegére</t>
  </si>
  <si>
    <t>Fizetés hozzárendelése egy leadott rendeléshez</t>
  </si>
  <si>
    <t>Egy rendelésben valamelyik tétel darabszámja módosítása</t>
  </si>
  <si>
    <t>200-as kód: A rendelési tétel sikeresen frissítve.</t>
  </si>
  <si>
    <t>Rendelés ellenőrzése hogy a total_price frissült-e újra az UpdateOrderItem után</t>
  </si>
  <si>
    <t>Egy rendelésben valamelyik tétel törlése</t>
  </si>
  <si>
    <t>200-as kód: A rendelési tétel sikeresen törölve.</t>
  </si>
  <si>
    <t>Rendelés ellenőrzése hogy a total_price frissült-e újra az DeleteOrderItem után</t>
  </si>
  <si>
    <t>Rendelési tétel sikertelen hozzáadása</t>
  </si>
  <si>
    <t>400-as kód: Az order_id megadása kötelező.</t>
  </si>
  <si>
    <t>400-as kód: Az dish_id megadása kötelező.</t>
  </si>
  <si>
    <t>400-as kód: A megadott rendelés nem létezik.</t>
  </si>
  <si>
    <t>400-as kód: A megadott étel nem létezik.</t>
  </si>
  <si>
    <t>400-as kód: A mennyiségnek pozitív számnak kell lennie.</t>
  </si>
  <si>
    <t>Rendelési tétel sikertelen frissítése</t>
  </si>
  <si>
    <t>404-es kód: A rendelési tétel nem található</t>
  </si>
  <si>
    <t>Rendelés tétel sikertelen törlése</t>
  </si>
  <si>
    <t>404-es kód: A rendelési tétel nem található.</t>
  </si>
  <si>
    <t>Üres body megadása az OrderItems-nél</t>
  </si>
  <si>
    <t>400-as kód: A kérés törzse üres</t>
  </si>
  <si>
    <t>Üres body megadása az AddOrderItems-nél</t>
  </si>
  <si>
    <t>Érvénytelen JSON formátum megadása az AddOrderItems-nél</t>
  </si>
  <si>
    <t>400-as kód: Érvénytelen JSON formátum</t>
  </si>
  <si>
    <t>CPG-43</t>
  </si>
  <si>
    <t>Összes étterem lekérdezése</t>
  </si>
  <si>
    <t>GetAllRestaurants eljárás meghívása</t>
  </si>
  <si>
    <t>Egy étterem lekérdezése ID alapján</t>
  </si>
  <si>
    <t>GetRestaurantById eljárás meghívása, majd egy étterem ID-ját megadni</t>
  </si>
  <si>
    <t>Egy étterem lekérdezése olyan ID alapján ami nem létezik (pl: 9999)</t>
  </si>
  <si>
    <t>GetRestaurantById eljárás meghívása, majd egy nem létező étterem ID-ját megadni</t>
  </si>
  <si>
    <t>404-es kód: Az étterem nem található</t>
  </si>
  <si>
    <t>Egy étterem lekérdezése pontos cím alapján</t>
  </si>
  <si>
    <t>SearchRestaurantByAddress eljárás meghívása, majd egy pontos cím megadása (pl: 7621 Pécs, Király utca 23-25.)</t>
  </si>
  <si>
    <t>Új étterem sikeres létrehozása</t>
  </si>
  <si>
    <t>AddRestaurant eljárás meghívása majd adatok megadása</t>
  </si>
  <si>
    <t>201-es kód: Étterem sikeresen létrehozva</t>
  </si>
  <si>
    <t>Új étterem sikertelen létrehozása (név megadás kihagyása)</t>
  </si>
  <si>
    <t>AddRestaurant eljárás meghívása majd adatok megadása, de a "name" adatot üresen hagyni</t>
  </si>
  <si>
    <t>400-as kód: Az étterem neve megadása kötelező</t>
  </si>
  <si>
    <t>Meglévő étterem módosítás</t>
  </si>
  <si>
    <t>UpdateRestaurant eljárás meghívása, majd a módosítandó étterem ID-ja megadása és a módosítandó adatok beírása</t>
  </si>
  <si>
    <t>200-as kód: Étterem sikeres módosítása</t>
  </si>
  <si>
    <t>Nem létező étterem törlése</t>
  </si>
  <si>
    <t>DeleteRestaurant eljárás meghívása és egy nem létező étterem ID-ját megadni</t>
  </si>
  <si>
    <t>Étterem törlése</t>
  </si>
  <si>
    <t>DeleteRestaurant eljárás meghívása és egy étterem ID-ját megadni</t>
  </si>
  <si>
    <t>200-as kód: Az étterem sikeresen törölve.</t>
  </si>
  <si>
    <t>CPG-51</t>
  </si>
  <si>
    <t>Összes felhasználó lekérése</t>
  </si>
  <si>
    <t>200-as kód: Felhasználók sikeres lekérése</t>
  </si>
  <si>
    <t>Egy felhasználó lekérése ID alapján</t>
  </si>
  <si>
    <t xml:space="preserve">GetAllUsers eljárás meghívása </t>
  </si>
  <si>
    <t>GetUserById eljárás meghívása és a kívánt ID-t megadni</t>
  </si>
  <si>
    <t>Egy felhasználó lekérése nem létező ID alapján</t>
  </si>
  <si>
    <t>GetUserById eljárás meghívása és a nem létező ID-t megadni</t>
  </si>
  <si>
    <t>404-es kód: A felhasználó nem található.</t>
  </si>
  <si>
    <t>Felhasználó létrehozása</t>
  </si>
  <si>
    <t>CreateUser eljárás meghívása és adatok beírása</t>
  </si>
  <si>
    <t>Felhasználó létrehozásának próbálása foglalt email-címmel</t>
  </si>
  <si>
    <t>CreateUser eljárás meghívása és adatok beírása de egy már regisztrált emailt megadni</t>
  </si>
  <si>
    <t>Bejelentkezés</t>
  </si>
  <si>
    <t>Login eljárás meghívása, majd megadni az emailt és jelszót</t>
  </si>
  <si>
    <t>200-as kód: Sikeres bejelentkezés</t>
  </si>
  <si>
    <t>Bejelentkezés rossz jelszóval</t>
  </si>
  <si>
    <t>Login eljárás meghívása, majd megadni az emailt és hibás jelszót</t>
  </si>
  <si>
    <t>401-es kód: Hibás jelszó</t>
  </si>
  <si>
    <t>Felhasználó adatainak módosítása</t>
  </si>
  <si>
    <t>UpdateUser eljárás meghívása, felhasználó ID-ját megadni és kívánt változásokat megadni</t>
  </si>
  <si>
    <t>200: A felhasználó sikeresen frissítve.</t>
  </si>
  <si>
    <t>Nem létező felhasználó adatainak módosítása</t>
  </si>
  <si>
    <t>UpdateUser eljárás meghívása, nem létező felhasználó ID-ját megadni</t>
  </si>
  <si>
    <t>404: A felhasználó nem található</t>
  </si>
  <si>
    <t>Felhasználó törlése</t>
  </si>
  <si>
    <t>DeleteUser eljárás meghívása majd kívánt ID megadása</t>
  </si>
  <si>
    <t>200: felhasználó sikeres törlése</t>
  </si>
  <si>
    <t>Nem létező felhasználó Felhasználó törlése</t>
  </si>
  <si>
    <t>DeleteUser eljárás meghívása majd nem létező ID megadása</t>
  </si>
  <si>
    <t>404: felhasználó nem található</t>
  </si>
  <si>
    <t>200: Étteremek sikeres lekérdezése</t>
  </si>
  <si>
    <t>Étterem létrehozása</t>
  </si>
  <si>
    <t>AddRestaurant eljárás meghívása és adatok megadása</t>
  </si>
  <si>
    <t>201: Étterem sikeresen létrehozva</t>
  </si>
  <si>
    <t>Étterem létrehozása név megadása nélkül</t>
  </si>
  <si>
    <t>AddRestaurant eljárás meghívása és adatok megadása de név kihagyása</t>
  </si>
  <si>
    <t>400: Az étterem neve kötelező.</t>
  </si>
  <si>
    <t>Étterem adatainak frissítése</t>
  </si>
  <si>
    <t>200: Étterem sikeres frissítése</t>
  </si>
  <si>
    <t>nem létező Étterem adatainak frissítése</t>
  </si>
  <si>
    <t>UpdateRestaurant eljárás meghívása és nem létező ID megadása</t>
  </si>
  <si>
    <t>404: Étterem nem található</t>
  </si>
  <si>
    <t xml:space="preserve">Étterem törlése </t>
  </si>
  <si>
    <t>DeleteRestaurant eljárás meghívása és étterem ID-ja megadása</t>
  </si>
  <si>
    <t>200:Étterem sikeres törlése</t>
  </si>
  <si>
    <t xml:space="preserve">nem létező Étterem törlése </t>
  </si>
  <si>
    <t>DeleteRestaurant eljárás meghívása és nem létező étterem ID-ja megadása</t>
  </si>
  <si>
    <t>Étterem lekérdezése cím alapján</t>
  </si>
  <si>
    <t>SearchRestaurantByAddress eljárás meghívása, majd egy cím megadása (pl: 7621 Pécs, Király utca 23-25.)</t>
  </si>
  <si>
    <t>200: Sikeres lekérdezés</t>
  </si>
  <si>
    <t>Étterem lekérdezése cím alapján (olyan cím ahol nincs étterem Pl:Budapest)</t>
  </si>
  <si>
    <t>SearchRestaurantByAddress eljárás meghívása, majd egy hibás cím megadása (pl: Budapest)</t>
  </si>
  <si>
    <t>200: Sikeres lekérdezés (üres tömb)</t>
  </si>
  <si>
    <t>Egy étel lekérdezése nem létező ID alapján</t>
  </si>
  <si>
    <t>404: Az étel nem található</t>
  </si>
  <si>
    <t>200: Ételek sikeres lekérdezése</t>
  </si>
  <si>
    <t>Ételek lekérdezése adott étteremből</t>
  </si>
  <si>
    <t>Ételek lekérdezése nem létező étteremből</t>
  </si>
  <si>
    <t>200: Ételek sikeres lekérdezése(üres tömb)</t>
  </si>
  <si>
    <t>Étel hozzáadása egy étteremhez</t>
  </si>
  <si>
    <t>200: Az étel sikeresen létrehozva.</t>
  </si>
  <si>
    <t>Étel hozzáadása egy étteremhez rossz étterem ID-val</t>
  </si>
  <si>
    <t>400: A megadott étterem nem létezik.</t>
  </si>
  <si>
    <t>Étel frissítése</t>
  </si>
  <si>
    <t>200: Az étel sikeresen frissítve.</t>
  </si>
  <si>
    <t>Étel frissítése nem létező ID-t megadni</t>
  </si>
  <si>
    <t>404: Az étel nem található.</t>
  </si>
  <si>
    <t>Étel törlése</t>
  </si>
  <si>
    <t>200: Az étel sikeresen törölve</t>
  </si>
  <si>
    <t>Nem létező étel törlése</t>
  </si>
  <si>
    <t>Összes rendelés lekérdezése</t>
  </si>
  <si>
    <t>200: Rendelések sikeres lekérdezése</t>
  </si>
  <si>
    <t>Egy rendelés lekérdezése ID alapjján</t>
  </si>
  <si>
    <t>200: Rendelés sikeres lekérdezése</t>
  </si>
  <si>
    <t>Egy rendelés lekérdezése nem létező ID alapján</t>
  </si>
  <si>
    <t>404: A rendelés nem található</t>
  </si>
  <si>
    <t>Rendelések lekérdezése userID alapján</t>
  </si>
  <si>
    <t>Rendelések lekérdezése nem létező userID alapján</t>
  </si>
  <si>
    <t>Rendelés Leadása</t>
  </si>
  <si>
    <t>AddOrder eljárás meghívása és adatok megadása</t>
  </si>
  <si>
    <t>201: Rendelés sikeresen leadva</t>
  </si>
  <si>
    <t>Rendelés Leadása rossz felhasználó ID-val</t>
  </si>
  <si>
    <t>AddOrder eljárás meghívása és rossz felhasználó ID megadása</t>
  </si>
  <si>
    <t>GetAllDishes eljárás meghívása, és futtatása</t>
  </si>
  <si>
    <t>GetDishByID eljárás meghívása, majd egy étel ID-t beírni (pl: dishes/GetDishById/99)</t>
  </si>
  <si>
    <t>AddDish eljárás meghívása, majd az adatok beírása</t>
  </si>
  <si>
    <t>DeleteDish eljárás meghívása és az étel ID beírásával (pl: dishes/DeleteDish/5)</t>
  </si>
  <si>
    <t>GetAllDishesByRestaurant eljárás meghívása és egy étterem ID-ját megadni.</t>
  </si>
  <si>
    <t>UpdateDish eljárás meghívása és a módosítani kívánt étel ID-ját megadni.</t>
  </si>
  <si>
    <t>CreateUser eljárást meghívni, megadni az adatokat, viszont a jelszó megadásakor kihagyjuk a speciális karaktert</t>
  </si>
  <si>
    <t>AddOrderItem eljárás meghívása, majd hozzá tartozó adatok beírása</t>
  </si>
  <si>
    <t>AddOrder eljárás meghívása, majd adatok beírása és a "total_price" 0 legyen</t>
  </si>
  <si>
    <t>GetOrderById eljárás meghívása és az adott Order ID-ját megadni</t>
  </si>
  <si>
    <t>AddPayment eljárás meghívása, majd megadni az Order ID-ját és a fizetés típusát (method-ját)</t>
  </si>
  <si>
    <t>UpdateOrderItem eljárás meghívása, ID megadása és quantity módosítása</t>
  </si>
  <si>
    <t>DeleteOrderItem eljárás meghívása, majd a törölni kívánt tétel ID-ja beírása</t>
  </si>
  <si>
    <t>AddOrderItem eljárás meghívása és az order_id-t kihagyni</t>
  </si>
  <si>
    <t>AddOrderItem eljárás meghívása és az dish_id-t kihagyni</t>
  </si>
  <si>
    <t>AddOrderItem eljárás meghívása és érvénytelen order_id-t megadni (pl:9999)</t>
  </si>
  <si>
    <t>AddOrderItem eljárás meghívása és érvénytelen dish_id-t megadni (pl:9999)</t>
  </si>
  <si>
    <t>AddOrderItem eljárás meghívása és negatív quantity-t beírni</t>
  </si>
  <si>
    <t>AddOrderItem eljárás meghívása és 0 quantity-t beírni</t>
  </si>
  <si>
    <t>UpdateOrderItem eljárás meghívása és egy nem létező order_id-t beírni ,majd beírni a quantity-t</t>
  </si>
  <si>
    <t>DeleteOrderItem eljárás meghívása és egy nem létező ID megadása</t>
  </si>
  <si>
    <t>AddOrderItems eljárás meghívása, majd a body üresen hagyása</t>
  </si>
  <si>
    <t>AddOrderItems eljárás meghívása, majd érvénytelen JSON formátumot megadni</t>
  </si>
  <si>
    <t>GetDishByID eljárás meghívása, majd egy étel ID-t beírni (pl: dishes/GetDishById/9999999)</t>
  </si>
  <si>
    <t>GetAllDishes eljárás meghívása</t>
  </si>
  <si>
    <t>GetDishesByRestaurant eljárás meghívása és egy étterem ID-ja megadása</t>
  </si>
  <si>
    <t>GetDishesByRestaurant eljárás meghívása és egy nem létező étterem ID-ja megadása</t>
  </si>
  <si>
    <t>AddDish eljárás meghívása, majd nem létező étterem ID-ját megadni</t>
  </si>
  <si>
    <t>UpdateDish eljárás meghívása és a nem létező ID-t megadni.</t>
  </si>
  <si>
    <t>DeleteDish eljárás meghívása és nem létező étel ID beírásával (pl: dishes/DeleteDish/99999)</t>
  </si>
  <si>
    <t>GetAllOrders eljárás meghívása</t>
  </si>
  <si>
    <t>GetOrderById eljárás meghívása és nem létező Order ID-t megadni</t>
  </si>
  <si>
    <t>GetOrderByUser eljárás meghívása és egy felhasználó ID-t megadni</t>
  </si>
  <si>
    <t>GetOrderByUser eljárás meghívása és egy nem létező  felhasználó ID-t megadni</t>
  </si>
  <si>
    <t>404: A megadott felhasználó nem létezik</t>
  </si>
  <si>
    <t>Rendelés frissítése</t>
  </si>
  <si>
    <t>UpdateOrder eljárás meghívása és adatok beírása</t>
  </si>
  <si>
    <t>200: A rendelés sikeresen frissítve</t>
  </si>
  <si>
    <t>Rendelés frissítése rossz ID-val</t>
  </si>
  <si>
    <t>UpdateOrder eljárás meghívása és rossz étel ID beírása</t>
  </si>
  <si>
    <t>Rendelés törlése</t>
  </si>
  <si>
    <t>DeleteOrder eljárás meghívása és rendelés ID megadása</t>
  </si>
  <si>
    <t>200: Rendelés Sikeres törlése</t>
  </si>
  <si>
    <t>Rendelés törlése rossz ID-val</t>
  </si>
  <si>
    <t>DeleteOrder eljárás meghívása és rossz rendelés ID megadása</t>
  </si>
  <si>
    <t>Összes rendelési tétel lekérdezése</t>
  </si>
  <si>
    <t>GetAllOrderItems eljárás meghívása</t>
  </si>
  <si>
    <t>200: Összes tétel sikeres lekérdezése</t>
  </si>
  <si>
    <t>Egy rendelési tétel lekérdezése ID alapján</t>
  </si>
  <si>
    <t>GetOrderItemById eljárás meghívása majd egy rendelési tétel ID megadása</t>
  </si>
  <si>
    <t>Egy rendelési tétel lekérdezése rossz ID alapján</t>
  </si>
  <si>
    <t>GetOrderItemById eljárás meghívása majd egy nem létező rendelési tétel ID megadása</t>
  </si>
  <si>
    <t>404: A rendelési tétel nem található</t>
  </si>
  <si>
    <t>GetOrderItemsByOrder eljárás meghívása és egy rendelés ID-t megadni</t>
  </si>
  <si>
    <t>Rendelési tételek kiírása egy rendelés ID alapján</t>
  </si>
  <si>
    <t>Rendelési tételek kiírása egy nem létező rendelés ID alapján</t>
  </si>
  <si>
    <t>GetOrderItemsByOrder eljárás meghívása és egy nem létező rendelés ID-t megadni</t>
  </si>
  <si>
    <t>200: Sikeres lekérdezés(üres tömb)</t>
  </si>
  <si>
    <t>Rendelési tétel hozzáadása egy rendeléshez</t>
  </si>
  <si>
    <t>AddOrderItem meghívása és egy rendelés ID-ját megadni</t>
  </si>
  <si>
    <t>200: A rendelési tétel sikeresen frissítve</t>
  </si>
  <si>
    <t>Rendelési tétel hozzáadása egy rendelésheő nem létező tétel ID-val</t>
  </si>
  <si>
    <t>AddOrderItem meghívása és egy nem létező rendelés ID-ját megadni</t>
  </si>
  <si>
    <t>Rendelési tétel törlése</t>
  </si>
  <si>
    <t>DeleteOrderItem meghívása és egy rendelési tétel ID megadása</t>
  </si>
  <si>
    <t>Minden fizetés lekérdezése</t>
  </si>
  <si>
    <t xml:space="preserve">GetAllPayments eljárás meghívása </t>
  </si>
  <si>
    <t>200: Rendelési tétel sikeres törlése</t>
  </si>
  <si>
    <t>200: Minden fizetés sikeres lekérdezése</t>
  </si>
  <si>
    <t>Fizetés lekérdezése egy fizetés ID alapján</t>
  </si>
  <si>
    <t>GetPaymentById eljárás meghívása és egy fizetés ID-ja megadása</t>
  </si>
  <si>
    <t>Fizetés lekérdezése egy rendelés ID alapján</t>
  </si>
  <si>
    <t>GetPaymentByOrder eljárás meghívása és egy rendelés ID megadása</t>
  </si>
  <si>
    <t>AddPayment eljárás meghívása, majd megadni az Order ID-ját és a fizetés típusát</t>
  </si>
  <si>
    <t>Fizetés hozzárendelése egy leadott rendeléshez (más összeg megadása mint a rendelésnél)</t>
  </si>
  <si>
    <t>201: Fizetés sikeresen hozzáadva</t>
  </si>
  <si>
    <t>500: A fizetés összege nem egyezik meg a rendelés összegével</t>
  </si>
  <si>
    <t>Fizetés frissítése</t>
  </si>
  <si>
    <t>UpdatePayment eljárás meghívása és egy fizetés ID-ját megadni, majd frissíteni kívánt adatoot beírni</t>
  </si>
  <si>
    <t>200: A fizetés sikeresen frissítve</t>
  </si>
  <si>
    <t>Fizetés törlése</t>
  </si>
  <si>
    <t>DeletePayment eljárás meghívása és egy fizetés ID-t megadni</t>
  </si>
  <si>
    <t>200: A fizetés sikeresen törölve.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</si>
</sst>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Aptos Narrow"/>
      <charset val="1"/>
    </font>
    <font>
      <sz val="11"/>
      <color theme="9"/>
      <name val="Calibri"/>
      <family val="2"/>
      <scheme val="minor"/>
    </font>
    <font>
      <sz val="11"/>
      <color rgb="FF4EA72E"/>
      <name val="Aptos Narrow"/>
      <charset val="1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 vertical="center"/>
    </xf>
    <xf numFmtId="0" fontId="0" fillId="7" borderId="0" xfId="0" applyFill="1"/>
    <xf numFmtId="0" fontId="1" fillId="8" borderId="0" xfId="0" applyFont="1" applyFill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/>
    <xf numFmtId="0" fontId="1" fillId="0" borderId="0" xfId="0" applyFont="1"/>
    <xf numFmtId="0" fontId="3" fillId="0" borderId="0" xfId="0" applyFont="1"/>
    <xf numFmtId="14" fontId="1" fillId="0" borderId="0" xfId="0" applyNumberFormat="1" applyFont="1"/>
    <xf numFmtId="49" fontId="0" fillId="0" borderId="0" xfId="0" applyNumberFormat="1"/>
  </cellXfs>
  <cellStyles count="1">
    <cellStyle name="Normá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92B937-A894-43F1-9B7E-BE5590B51451}" name="Táblázat1" displayName="Táblázat1" ref="A1:I148" totalsRowShown="0">
  <autoFilter ref="A1:I148" xr:uid="{4292B937-A894-43F1-9B7E-BE5590B51451}"/>
  <sortState xmlns:xlrd2="http://schemas.microsoft.com/office/spreadsheetml/2017/richdata2" ref="A2:I148">
    <sortCondition ref="A1:A148"/>
  </sortState>
  <tableColumns count="9">
    <tableColumn id="1" xr3:uid="{04A10BDF-4CFF-4147-951B-C770A32B76A0}" name="ID" dataDxfId="2"/>
    <tableColumn id="2" xr3:uid="{18AEC679-C1E7-4432-BFC1-8404E824CC15}" name="Task ID"/>
    <tableColumn id="3" xr3:uid="{D1C96B7F-981C-4487-98DA-8AFB5FB57995}" name="Test Objective"/>
    <tableColumn id="4" xr3:uid="{E7B115BB-8645-41E6-87B7-418892DD518B}" name="Test Steps"/>
    <tableColumn id="5" xr3:uid="{FDFD3CCA-F0E4-40A3-A8FF-2D0FF243593E}" name="Expected Result"/>
    <tableColumn id="6" xr3:uid="{97B43CC8-C388-465D-9DB9-46E47B009D1D}" name="Actual Result"/>
    <tableColumn id="7" xr3:uid="{A720C310-65A1-4670-9BCA-DFFDBAB8084B}" name="Pass/Fail"/>
    <tableColumn id="8" xr3:uid="{2BFA5A80-7587-4912-BD23-0B879F0CF4F1}" name="Date"/>
    <tableColumn id="9" xr3:uid="{A2A4BFFF-D0EB-4A2B-B50E-5FD454B8349B}" name="Done by: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8"/>
  <sheetViews>
    <sheetView tabSelected="1" topLeftCell="A91" zoomScale="85" zoomScaleNormal="85" workbookViewId="0">
      <selection activeCell="C111" sqref="C111"/>
    </sheetView>
  </sheetViews>
  <sheetFormatPr defaultRowHeight="14.4" x14ac:dyDescent="0.3"/>
  <cols>
    <col min="1" max="1" width="4.6640625" customWidth="1"/>
    <col min="2" max="2" width="21.6640625" customWidth="1"/>
    <col min="3" max="3" width="79.88671875" bestFit="1" customWidth="1"/>
    <col min="4" max="4" width="100.21875" customWidth="1"/>
    <col min="5" max="5" width="131.33203125" bestFit="1" customWidth="1"/>
    <col min="6" max="6" width="66.5546875" bestFit="1" customWidth="1"/>
    <col min="7" max="7" width="10.21875" customWidth="1"/>
    <col min="8" max="8" width="10.109375" customWidth="1"/>
    <col min="9" max="9" width="11.77734375" bestFit="1" customWidth="1"/>
  </cols>
  <sheetData>
    <row r="1" spans="1:9" x14ac:dyDescent="0.3">
      <c r="A1" s="2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5" t="s">
        <v>6</v>
      </c>
      <c r="H1" s="6" t="s">
        <v>7</v>
      </c>
      <c r="I1" s="6" t="s">
        <v>8</v>
      </c>
    </row>
    <row r="2" spans="1:9" x14ac:dyDescent="0.3">
      <c r="A2" s="7">
        <v>1</v>
      </c>
      <c r="B2" t="s">
        <v>21</v>
      </c>
      <c r="C2" t="s">
        <v>9</v>
      </c>
      <c r="E2" t="s">
        <v>13</v>
      </c>
      <c r="F2" t="s">
        <v>13</v>
      </c>
      <c r="G2" t="s">
        <v>10</v>
      </c>
      <c r="H2" s="1">
        <v>46028</v>
      </c>
      <c r="I2" t="s">
        <v>11</v>
      </c>
    </row>
    <row r="3" spans="1:9" x14ac:dyDescent="0.3">
      <c r="A3" s="7">
        <f>A2+1</f>
        <v>2</v>
      </c>
      <c r="B3" t="s">
        <v>21</v>
      </c>
      <c r="C3" t="s">
        <v>12</v>
      </c>
      <c r="E3" t="s">
        <v>14</v>
      </c>
      <c r="F3" t="s">
        <v>14</v>
      </c>
      <c r="G3" t="s">
        <v>10</v>
      </c>
      <c r="H3" s="1">
        <v>46030</v>
      </c>
      <c r="I3" t="s">
        <v>11</v>
      </c>
    </row>
    <row r="4" spans="1:9" x14ac:dyDescent="0.3">
      <c r="A4" s="7">
        <f t="shared" ref="A4:A67" si="0">A3+1</f>
        <v>3</v>
      </c>
      <c r="B4" t="s">
        <v>21</v>
      </c>
      <c r="C4" t="s">
        <v>188</v>
      </c>
      <c r="E4" t="s">
        <v>205</v>
      </c>
      <c r="F4" t="s">
        <v>15</v>
      </c>
      <c r="G4" t="s">
        <v>10</v>
      </c>
      <c r="H4" s="1">
        <v>46030</v>
      </c>
      <c r="I4" t="s">
        <v>11</v>
      </c>
    </row>
    <row r="5" spans="1:9" x14ac:dyDescent="0.3">
      <c r="A5" s="7">
        <f t="shared" si="0"/>
        <v>4</v>
      </c>
      <c r="B5" t="s">
        <v>20</v>
      </c>
      <c r="C5" t="s">
        <v>16</v>
      </c>
      <c r="E5" t="s">
        <v>207</v>
      </c>
      <c r="F5" t="s">
        <v>17</v>
      </c>
      <c r="G5" t="s">
        <v>18</v>
      </c>
      <c r="H5" s="1">
        <v>46030</v>
      </c>
      <c r="I5" t="s">
        <v>11</v>
      </c>
    </row>
    <row r="6" spans="1:9" x14ac:dyDescent="0.3">
      <c r="A6" s="7">
        <f t="shared" si="0"/>
        <v>5</v>
      </c>
      <c r="B6" t="s">
        <v>19</v>
      </c>
      <c r="C6" t="s">
        <v>22</v>
      </c>
      <c r="E6" t="s">
        <v>23</v>
      </c>
      <c r="F6" t="s">
        <v>17</v>
      </c>
      <c r="G6" t="s">
        <v>18</v>
      </c>
      <c r="H6" s="1">
        <v>46030</v>
      </c>
      <c r="I6" t="s">
        <v>11</v>
      </c>
    </row>
    <row r="7" spans="1:9" x14ac:dyDescent="0.3">
      <c r="A7" s="7">
        <f t="shared" si="0"/>
        <v>6</v>
      </c>
      <c r="B7" t="s">
        <v>19</v>
      </c>
      <c r="C7" t="s">
        <v>22</v>
      </c>
      <c r="E7" t="s">
        <v>23</v>
      </c>
      <c r="F7" t="s">
        <v>23</v>
      </c>
      <c r="G7" t="s">
        <v>10</v>
      </c>
      <c r="H7" s="1">
        <v>46031</v>
      </c>
      <c r="I7" t="s">
        <v>11</v>
      </c>
    </row>
    <row r="8" spans="1:9" x14ac:dyDescent="0.3">
      <c r="A8" s="7">
        <f t="shared" si="0"/>
        <v>7</v>
      </c>
      <c r="B8" t="s">
        <v>24</v>
      </c>
      <c r="C8" t="s">
        <v>25</v>
      </c>
      <c r="E8" t="s">
        <v>28</v>
      </c>
      <c r="F8" t="s">
        <v>26</v>
      </c>
      <c r="G8" t="s">
        <v>10</v>
      </c>
      <c r="H8" s="1">
        <v>46031</v>
      </c>
      <c r="I8" t="s">
        <v>11</v>
      </c>
    </row>
    <row r="9" spans="1:9" x14ac:dyDescent="0.3">
      <c r="A9" s="7">
        <f t="shared" si="0"/>
        <v>8</v>
      </c>
      <c r="B9" t="s">
        <v>189</v>
      </c>
      <c r="C9" t="s">
        <v>27</v>
      </c>
      <c r="D9" t="s">
        <v>350</v>
      </c>
      <c r="E9" t="s">
        <v>29</v>
      </c>
      <c r="F9" t="s">
        <v>29</v>
      </c>
      <c r="G9" t="s">
        <v>10</v>
      </c>
      <c r="H9" s="1">
        <v>46042</v>
      </c>
      <c r="I9" t="s">
        <v>11</v>
      </c>
    </row>
    <row r="10" spans="1:9" x14ac:dyDescent="0.3">
      <c r="A10" s="7">
        <f t="shared" si="0"/>
        <v>9</v>
      </c>
      <c r="B10" t="s">
        <v>189</v>
      </c>
      <c r="C10" t="s">
        <v>30</v>
      </c>
      <c r="D10" t="s">
        <v>351</v>
      </c>
      <c r="E10" t="s">
        <v>31</v>
      </c>
      <c r="F10" t="s">
        <v>17</v>
      </c>
      <c r="G10" t="s">
        <v>18</v>
      </c>
      <c r="H10" s="1">
        <v>46042</v>
      </c>
      <c r="I10" t="s">
        <v>11</v>
      </c>
    </row>
    <row r="11" spans="1:9" x14ac:dyDescent="0.3">
      <c r="A11" s="7">
        <f t="shared" si="0"/>
        <v>10</v>
      </c>
      <c r="B11" t="s">
        <v>189</v>
      </c>
      <c r="C11" t="s">
        <v>30</v>
      </c>
      <c r="D11" t="s">
        <v>351</v>
      </c>
      <c r="E11" t="s">
        <v>31</v>
      </c>
      <c r="F11" t="s">
        <v>39</v>
      </c>
      <c r="G11" t="s">
        <v>10</v>
      </c>
      <c r="H11" s="1">
        <v>46042</v>
      </c>
      <c r="I11" t="s">
        <v>11</v>
      </c>
    </row>
    <row r="12" spans="1:9" x14ac:dyDescent="0.3">
      <c r="A12" s="7">
        <f t="shared" si="0"/>
        <v>11</v>
      </c>
      <c r="B12" t="s">
        <v>189</v>
      </c>
      <c r="C12" t="s">
        <v>32</v>
      </c>
      <c r="D12" t="s">
        <v>352</v>
      </c>
      <c r="E12" t="s">
        <v>34</v>
      </c>
      <c r="F12" t="s">
        <v>33</v>
      </c>
      <c r="G12" t="s">
        <v>18</v>
      </c>
      <c r="H12" s="1">
        <v>46042</v>
      </c>
      <c r="I12" t="s">
        <v>11</v>
      </c>
    </row>
    <row r="13" spans="1:9" x14ac:dyDescent="0.3">
      <c r="A13" s="7">
        <f t="shared" si="0"/>
        <v>12</v>
      </c>
      <c r="B13" t="s">
        <v>189</v>
      </c>
      <c r="C13" t="s">
        <v>32</v>
      </c>
      <c r="D13" t="s">
        <v>352</v>
      </c>
      <c r="E13" t="s">
        <v>34</v>
      </c>
      <c r="F13" t="s">
        <v>34</v>
      </c>
      <c r="G13" t="s">
        <v>10</v>
      </c>
      <c r="H13" s="1">
        <v>46042</v>
      </c>
      <c r="I13" t="s">
        <v>11</v>
      </c>
    </row>
    <row r="14" spans="1:9" ht="13.8" customHeight="1" x14ac:dyDescent="0.3">
      <c r="A14" s="7">
        <f t="shared" si="0"/>
        <v>13</v>
      </c>
      <c r="B14" t="s">
        <v>189</v>
      </c>
      <c r="C14" t="s">
        <v>35</v>
      </c>
      <c r="D14" t="s">
        <v>353</v>
      </c>
      <c r="E14" t="s">
        <v>36</v>
      </c>
      <c r="F14" t="s">
        <v>37</v>
      </c>
      <c r="G14" t="s">
        <v>10</v>
      </c>
      <c r="H14" s="1">
        <v>46042</v>
      </c>
      <c r="I14" t="s">
        <v>11</v>
      </c>
    </row>
    <row r="15" spans="1:9" ht="15.6" customHeight="1" x14ac:dyDescent="0.3">
      <c r="A15" s="7">
        <f t="shared" si="0"/>
        <v>14</v>
      </c>
      <c r="B15" t="s">
        <v>189</v>
      </c>
      <c r="C15" t="s">
        <v>35</v>
      </c>
      <c r="D15" t="s">
        <v>353</v>
      </c>
      <c r="E15" t="s">
        <v>38</v>
      </c>
      <c r="F15" t="s">
        <v>38</v>
      </c>
      <c r="G15" t="s">
        <v>10</v>
      </c>
      <c r="H15" s="1">
        <v>46042</v>
      </c>
      <c r="I15" t="s">
        <v>11</v>
      </c>
    </row>
    <row r="16" spans="1:9" x14ac:dyDescent="0.3">
      <c r="A16" s="7">
        <f t="shared" si="0"/>
        <v>15</v>
      </c>
      <c r="B16" t="s">
        <v>189</v>
      </c>
      <c r="C16" t="s">
        <v>208</v>
      </c>
      <c r="D16" t="s">
        <v>354</v>
      </c>
      <c r="E16" t="s">
        <v>40</v>
      </c>
      <c r="F16" t="s">
        <v>40</v>
      </c>
      <c r="G16" t="s">
        <v>10</v>
      </c>
      <c r="H16" s="1">
        <v>46042</v>
      </c>
      <c r="I16" t="s">
        <v>11</v>
      </c>
    </row>
    <row r="17" spans="1:9" x14ac:dyDescent="0.3">
      <c r="A17" s="7">
        <f t="shared" si="0"/>
        <v>16</v>
      </c>
      <c r="B17" t="s">
        <v>189</v>
      </c>
      <c r="C17" t="s">
        <v>41</v>
      </c>
      <c r="D17" t="s">
        <v>355</v>
      </c>
      <c r="E17" t="s">
        <v>43</v>
      </c>
      <c r="F17" t="s">
        <v>42</v>
      </c>
      <c r="G17" t="s">
        <v>18</v>
      </c>
      <c r="H17" s="1">
        <v>46042</v>
      </c>
      <c r="I17" t="s">
        <v>11</v>
      </c>
    </row>
    <row r="18" spans="1:9" x14ac:dyDescent="0.3">
      <c r="A18" s="7">
        <f t="shared" si="0"/>
        <v>17</v>
      </c>
      <c r="B18" t="s">
        <v>189</v>
      </c>
      <c r="C18" t="s">
        <v>41</v>
      </c>
      <c r="D18" t="s">
        <v>355</v>
      </c>
      <c r="E18" t="s">
        <v>43</v>
      </c>
      <c r="F18" t="s">
        <v>43</v>
      </c>
      <c r="G18" t="s">
        <v>10</v>
      </c>
      <c r="H18" s="1">
        <v>46042</v>
      </c>
      <c r="I18" t="s">
        <v>11</v>
      </c>
    </row>
    <row r="19" spans="1:9" x14ac:dyDescent="0.3">
      <c r="A19" s="7">
        <f t="shared" si="0"/>
        <v>18</v>
      </c>
      <c r="B19" t="s">
        <v>190</v>
      </c>
      <c r="C19" t="s">
        <v>191</v>
      </c>
      <c r="E19" t="s">
        <v>193</v>
      </c>
      <c r="F19" t="s">
        <v>192</v>
      </c>
      <c r="G19" t="s">
        <v>18</v>
      </c>
      <c r="H19" s="1">
        <v>46048</v>
      </c>
      <c r="I19" t="s">
        <v>11</v>
      </c>
    </row>
    <row r="20" spans="1:9" x14ac:dyDescent="0.3">
      <c r="A20" s="7">
        <f t="shared" si="0"/>
        <v>19</v>
      </c>
      <c r="B20" t="s">
        <v>190</v>
      </c>
      <c r="C20" t="s">
        <v>191</v>
      </c>
      <c r="E20" t="s">
        <v>193</v>
      </c>
      <c r="F20" t="s">
        <v>193</v>
      </c>
      <c r="G20" t="s">
        <v>10</v>
      </c>
      <c r="H20" s="1">
        <v>46048</v>
      </c>
      <c r="I20" t="s">
        <v>11</v>
      </c>
    </row>
    <row r="21" spans="1:9" x14ac:dyDescent="0.3">
      <c r="A21" s="7">
        <f t="shared" si="0"/>
        <v>20</v>
      </c>
      <c r="B21" t="s">
        <v>190</v>
      </c>
      <c r="C21" t="s">
        <v>194</v>
      </c>
      <c r="E21" t="s">
        <v>195</v>
      </c>
      <c r="F21" t="s">
        <v>195</v>
      </c>
      <c r="G21" t="s">
        <v>10</v>
      </c>
      <c r="H21" s="1">
        <v>46048</v>
      </c>
      <c r="I21" t="s">
        <v>11</v>
      </c>
    </row>
    <row r="22" spans="1:9" x14ac:dyDescent="0.3">
      <c r="A22" s="7">
        <f t="shared" si="0"/>
        <v>21</v>
      </c>
      <c r="B22" t="s">
        <v>190</v>
      </c>
      <c r="C22" t="s">
        <v>196</v>
      </c>
      <c r="E22" t="s">
        <v>197</v>
      </c>
      <c r="F22" t="s">
        <v>197</v>
      </c>
      <c r="G22" t="s">
        <v>10</v>
      </c>
      <c r="H22" s="1">
        <v>46048</v>
      </c>
      <c r="I22" t="s">
        <v>11</v>
      </c>
    </row>
    <row r="23" spans="1:9" x14ac:dyDescent="0.3">
      <c r="A23" s="7">
        <f t="shared" si="0"/>
        <v>22</v>
      </c>
      <c r="B23" t="s">
        <v>190</v>
      </c>
      <c r="C23" t="s">
        <v>198</v>
      </c>
      <c r="E23" t="s">
        <v>199</v>
      </c>
      <c r="F23" t="s">
        <v>199</v>
      </c>
      <c r="G23" t="s">
        <v>10</v>
      </c>
      <c r="H23" s="1">
        <v>46048</v>
      </c>
      <c r="I23" t="s">
        <v>11</v>
      </c>
    </row>
    <row r="24" spans="1:9" x14ac:dyDescent="0.3">
      <c r="A24" s="7">
        <f t="shared" si="0"/>
        <v>23</v>
      </c>
      <c r="B24" t="s">
        <v>190</v>
      </c>
      <c r="C24" t="s">
        <v>200</v>
      </c>
      <c r="E24" t="s">
        <v>199</v>
      </c>
      <c r="F24" t="s">
        <v>199</v>
      </c>
      <c r="G24" t="s">
        <v>10</v>
      </c>
      <c r="H24" s="1">
        <v>46048</v>
      </c>
      <c r="I24" t="s">
        <v>11</v>
      </c>
    </row>
    <row r="25" spans="1:9" x14ac:dyDescent="0.3">
      <c r="A25" s="7">
        <f t="shared" si="0"/>
        <v>24</v>
      </c>
      <c r="B25" t="s">
        <v>201</v>
      </c>
      <c r="C25" t="s">
        <v>202</v>
      </c>
      <c r="D25" s="16" t="s">
        <v>356</v>
      </c>
      <c r="E25" t="s">
        <v>203</v>
      </c>
      <c r="F25" t="s">
        <v>203</v>
      </c>
      <c r="G25" t="s">
        <v>10</v>
      </c>
      <c r="H25" s="1">
        <v>46049</v>
      </c>
      <c r="I25" t="s">
        <v>11</v>
      </c>
    </row>
    <row r="26" spans="1:9" x14ac:dyDescent="0.3">
      <c r="A26" s="7">
        <f t="shared" si="0"/>
        <v>25</v>
      </c>
      <c r="B26" t="s">
        <v>201</v>
      </c>
      <c r="C26" t="s">
        <v>202</v>
      </c>
      <c r="E26" t="s">
        <v>204</v>
      </c>
      <c r="F26" t="s">
        <v>204</v>
      </c>
      <c r="G26" t="s">
        <v>10</v>
      </c>
      <c r="H26" s="1">
        <v>46049</v>
      </c>
      <c r="I26" t="s">
        <v>11</v>
      </c>
    </row>
    <row r="27" spans="1:9" x14ac:dyDescent="0.3">
      <c r="A27" s="7">
        <f t="shared" si="0"/>
        <v>26</v>
      </c>
      <c r="B27" t="s">
        <v>201</v>
      </c>
      <c r="C27" t="s">
        <v>202</v>
      </c>
      <c r="E27" t="s">
        <v>206</v>
      </c>
      <c r="F27" t="s">
        <v>206</v>
      </c>
      <c r="G27" t="s">
        <v>10</v>
      </c>
      <c r="H27" s="1">
        <v>46049</v>
      </c>
      <c r="I27" t="s">
        <v>11</v>
      </c>
    </row>
    <row r="28" spans="1:9" x14ac:dyDescent="0.3">
      <c r="A28" s="7">
        <f t="shared" si="0"/>
        <v>27</v>
      </c>
      <c r="B28" t="s">
        <v>211</v>
      </c>
      <c r="C28" t="s">
        <v>209</v>
      </c>
      <c r="D28" t="s">
        <v>357</v>
      </c>
      <c r="E28" t="s">
        <v>210</v>
      </c>
      <c r="F28" t="s">
        <v>210</v>
      </c>
      <c r="G28" t="s">
        <v>10</v>
      </c>
      <c r="H28" s="1">
        <v>46049</v>
      </c>
      <c r="I28" t="s">
        <v>11</v>
      </c>
    </row>
    <row r="29" spans="1:9" x14ac:dyDescent="0.3">
      <c r="A29" s="7">
        <f t="shared" si="0"/>
        <v>28</v>
      </c>
      <c r="B29" t="s">
        <v>215</v>
      </c>
      <c r="C29" t="s">
        <v>212</v>
      </c>
      <c r="D29" t="s">
        <v>358</v>
      </c>
      <c r="E29" t="s">
        <v>213</v>
      </c>
      <c r="F29" t="s">
        <v>213</v>
      </c>
      <c r="G29" t="s">
        <v>214</v>
      </c>
      <c r="H29" s="1">
        <v>46051</v>
      </c>
      <c r="I29" t="s">
        <v>11</v>
      </c>
    </row>
    <row r="30" spans="1:9" x14ac:dyDescent="0.3">
      <c r="A30" s="7">
        <f t="shared" si="0"/>
        <v>29</v>
      </c>
      <c r="B30" t="s">
        <v>215</v>
      </c>
      <c r="C30" t="s">
        <v>216</v>
      </c>
      <c r="D30" t="s">
        <v>357</v>
      </c>
      <c r="E30" t="s">
        <v>210</v>
      </c>
      <c r="F30" t="s">
        <v>210</v>
      </c>
      <c r="G30" t="s">
        <v>10</v>
      </c>
      <c r="H30" s="1">
        <v>46051</v>
      </c>
      <c r="I30" t="s">
        <v>11</v>
      </c>
    </row>
    <row r="31" spans="1:9" x14ac:dyDescent="0.3">
      <c r="A31" s="7">
        <f t="shared" si="0"/>
        <v>30</v>
      </c>
      <c r="B31" t="s">
        <v>215</v>
      </c>
      <c r="C31" t="s">
        <v>216</v>
      </c>
      <c r="D31" t="s">
        <v>357</v>
      </c>
      <c r="E31" t="s">
        <v>210</v>
      </c>
      <c r="F31" t="s">
        <v>210</v>
      </c>
      <c r="G31" t="s">
        <v>10</v>
      </c>
      <c r="H31" s="1">
        <v>46051</v>
      </c>
      <c r="I31" t="s">
        <v>11</v>
      </c>
    </row>
    <row r="32" spans="1:9" x14ac:dyDescent="0.3">
      <c r="A32" s="7">
        <f t="shared" si="0"/>
        <v>31</v>
      </c>
      <c r="B32" t="s">
        <v>215</v>
      </c>
      <c r="C32" t="s">
        <v>217</v>
      </c>
      <c r="D32" t="s">
        <v>359</v>
      </c>
      <c r="E32" t="s">
        <v>219</v>
      </c>
      <c r="F32" t="s">
        <v>218</v>
      </c>
      <c r="G32" t="s">
        <v>18</v>
      </c>
      <c r="H32" s="1">
        <v>46051</v>
      </c>
      <c r="I32" t="s">
        <v>11</v>
      </c>
    </row>
    <row r="33" spans="1:9" x14ac:dyDescent="0.3">
      <c r="A33" s="7">
        <f t="shared" si="0"/>
        <v>32</v>
      </c>
      <c r="B33" t="s">
        <v>215</v>
      </c>
      <c r="C33" t="s">
        <v>217</v>
      </c>
      <c r="D33" t="s">
        <v>359</v>
      </c>
      <c r="E33" t="s">
        <v>219</v>
      </c>
      <c r="F33" t="s">
        <v>219</v>
      </c>
      <c r="G33" t="s">
        <v>10</v>
      </c>
      <c r="H33" s="1">
        <v>46051</v>
      </c>
      <c r="I33" t="s">
        <v>11</v>
      </c>
    </row>
    <row r="34" spans="1:9" x14ac:dyDescent="0.3">
      <c r="A34" s="7">
        <f t="shared" si="0"/>
        <v>33</v>
      </c>
      <c r="B34" t="s">
        <v>215</v>
      </c>
      <c r="C34" t="s">
        <v>220</v>
      </c>
      <c r="D34" t="s">
        <v>360</v>
      </c>
      <c r="E34" t="s">
        <v>193</v>
      </c>
      <c r="F34" t="s">
        <v>193</v>
      </c>
      <c r="G34" t="s">
        <v>10</v>
      </c>
      <c r="H34" s="1">
        <v>46051</v>
      </c>
      <c r="I34" t="s">
        <v>11</v>
      </c>
    </row>
    <row r="35" spans="1:9" x14ac:dyDescent="0.3">
      <c r="A35" s="7">
        <f t="shared" si="0"/>
        <v>34</v>
      </c>
      <c r="B35" t="s">
        <v>215</v>
      </c>
      <c r="C35" t="s">
        <v>221</v>
      </c>
      <c r="D35" t="s">
        <v>361</v>
      </c>
      <c r="E35" t="s">
        <v>222</v>
      </c>
      <c r="F35" t="s">
        <v>222</v>
      </c>
      <c r="G35" t="s">
        <v>10</v>
      </c>
      <c r="H35" s="1">
        <v>46051</v>
      </c>
      <c r="I35" t="s">
        <v>11</v>
      </c>
    </row>
    <row r="36" spans="1:9" x14ac:dyDescent="0.3">
      <c r="A36" s="7">
        <f t="shared" si="0"/>
        <v>35</v>
      </c>
      <c r="B36" t="s">
        <v>215</v>
      </c>
      <c r="C36" t="s">
        <v>223</v>
      </c>
      <c r="D36" t="s">
        <v>359</v>
      </c>
      <c r="E36" t="s">
        <v>219</v>
      </c>
      <c r="F36" t="s">
        <v>219</v>
      </c>
      <c r="G36" t="s">
        <v>10</v>
      </c>
      <c r="H36" s="1">
        <v>46051</v>
      </c>
      <c r="I36" t="s">
        <v>11</v>
      </c>
    </row>
    <row r="37" spans="1:9" x14ac:dyDescent="0.3">
      <c r="A37" s="7">
        <f t="shared" si="0"/>
        <v>36</v>
      </c>
      <c r="B37" t="s">
        <v>215</v>
      </c>
      <c r="C37" t="s">
        <v>224</v>
      </c>
      <c r="D37" t="s">
        <v>362</v>
      </c>
      <c r="E37" t="s">
        <v>225</v>
      </c>
      <c r="F37" t="s">
        <v>225</v>
      </c>
      <c r="G37" t="s">
        <v>10</v>
      </c>
      <c r="H37" s="1">
        <v>46051</v>
      </c>
      <c r="I37" t="s">
        <v>11</v>
      </c>
    </row>
    <row r="38" spans="1:9" x14ac:dyDescent="0.3">
      <c r="A38" s="7">
        <f t="shared" si="0"/>
        <v>37</v>
      </c>
      <c r="B38" t="s">
        <v>215</v>
      </c>
      <c r="C38" t="s">
        <v>226</v>
      </c>
      <c r="D38" t="s">
        <v>359</v>
      </c>
      <c r="E38" t="s">
        <v>222</v>
      </c>
      <c r="F38" t="s">
        <v>222</v>
      </c>
      <c r="G38" t="s">
        <v>10</v>
      </c>
      <c r="H38" s="1">
        <v>46051</v>
      </c>
      <c r="I38" t="s">
        <v>11</v>
      </c>
    </row>
    <row r="39" spans="1:9" x14ac:dyDescent="0.3">
      <c r="A39" s="7">
        <f t="shared" si="0"/>
        <v>38</v>
      </c>
      <c r="B39" t="s">
        <v>215</v>
      </c>
      <c r="C39" t="s">
        <v>227</v>
      </c>
      <c r="D39" t="s">
        <v>363</v>
      </c>
      <c r="E39" t="s">
        <v>228</v>
      </c>
      <c r="F39" t="s">
        <v>228</v>
      </c>
      <c r="G39" t="s">
        <v>10</v>
      </c>
      <c r="H39" s="1">
        <v>46055</v>
      </c>
      <c r="I39" t="s">
        <v>11</v>
      </c>
    </row>
    <row r="40" spans="1:9" x14ac:dyDescent="0.3">
      <c r="A40" s="7">
        <f t="shared" si="0"/>
        <v>39</v>
      </c>
      <c r="B40" t="s">
        <v>215</v>
      </c>
      <c r="C40" t="s">
        <v>227</v>
      </c>
      <c r="D40" t="s">
        <v>364</v>
      </c>
      <c r="E40" t="s">
        <v>229</v>
      </c>
      <c r="F40" t="s">
        <v>229</v>
      </c>
      <c r="G40" t="s">
        <v>10</v>
      </c>
      <c r="H40" s="1">
        <v>46055</v>
      </c>
      <c r="I40" t="s">
        <v>11</v>
      </c>
    </row>
    <row r="41" spans="1:9" x14ac:dyDescent="0.3">
      <c r="A41" s="7">
        <f t="shared" si="0"/>
        <v>40</v>
      </c>
      <c r="B41" t="s">
        <v>215</v>
      </c>
      <c r="C41" t="s">
        <v>227</v>
      </c>
      <c r="D41" t="s">
        <v>365</v>
      </c>
      <c r="E41" t="s">
        <v>230</v>
      </c>
      <c r="F41" t="s">
        <v>230</v>
      </c>
      <c r="G41" t="s">
        <v>10</v>
      </c>
      <c r="H41" s="1">
        <v>46055</v>
      </c>
      <c r="I41" t="s">
        <v>11</v>
      </c>
    </row>
    <row r="42" spans="1:9" x14ac:dyDescent="0.3">
      <c r="A42" s="7">
        <f t="shared" si="0"/>
        <v>41</v>
      </c>
      <c r="B42" t="s">
        <v>215</v>
      </c>
      <c r="C42" t="s">
        <v>227</v>
      </c>
      <c r="D42" t="s">
        <v>366</v>
      </c>
      <c r="E42" t="s">
        <v>231</v>
      </c>
      <c r="F42" t="s">
        <v>231</v>
      </c>
      <c r="G42" t="s">
        <v>10</v>
      </c>
      <c r="H42" s="1">
        <v>46055</v>
      </c>
      <c r="I42" t="s">
        <v>11</v>
      </c>
    </row>
    <row r="43" spans="1:9" x14ac:dyDescent="0.3">
      <c r="A43" s="7">
        <f t="shared" si="0"/>
        <v>42</v>
      </c>
      <c r="B43" t="s">
        <v>215</v>
      </c>
      <c r="C43" t="s">
        <v>227</v>
      </c>
      <c r="D43" t="s">
        <v>367</v>
      </c>
      <c r="E43" t="s">
        <v>232</v>
      </c>
      <c r="F43" t="s">
        <v>232</v>
      </c>
      <c r="G43" t="s">
        <v>10</v>
      </c>
      <c r="H43" s="1">
        <v>46055</v>
      </c>
      <c r="I43" t="s">
        <v>11</v>
      </c>
    </row>
    <row r="44" spans="1:9" x14ac:dyDescent="0.3">
      <c r="A44" s="7">
        <f t="shared" si="0"/>
        <v>43</v>
      </c>
      <c r="B44" t="s">
        <v>215</v>
      </c>
      <c r="C44" t="s">
        <v>227</v>
      </c>
      <c r="D44" t="s">
        <v>368</v>
      </c>
      <c r="E44" t="s">
        <v>232</v>
      </c>
      <c r="F44" t="s">
        <v>232</v>
      </c>
      <c r="G44" t="s">
        <v>10</v>
      </c>
      <c r="H44" s="1">
        <v>46055</v>
      </c>
      <c r="I44" t="s">
        <v>11</v>
      </c>
    </row>
    <row r="45" spans="1:9" x14ac:dyDescent="0.3">
      <c r="A45" s="7">
        <f t="shared" si="0"/>
        <v>44</v>
      </c>
      <c r="B45" t="s">
        <v>215</v>
      </c>
      <c r="C45" t="s">
        <v>233</v>
      </c>
      <c r="D45" t="s">
        <v>369</v>
      </c>
      <c r="E45" t="s">
        <v>234</v>
      </c>
      <c r="F45" t="s">
        <v>234</v>
      </c>
      <c r="G45" t="s">
        <v>10</v>
      </c>
      <c r="H45" s="1">
        <v>46055</v>
      </c>
      <c r="I45" t="s">
        <v>11</v>
      </c>
    </row>
    <row r="46" spans="1:9" x14ac:dyDescent="0.3">
      <c r="A46" s="7">
        <f t="shared" si="0"/>
        <v>45</v>
      </c>
      <c r="B46" t="s">
        <v>215</v>
      </c>
      <c r="C46" t="s">
        <v>235</v>
      </c>
      <c r="D46" t="s">
        <v>370</v>
      </c>
      <c r="E46" t="s">
        <v>236</v>
      </c>
      <c r="F46" t="s">
        <v>236</v>
      </c>
      <c r="G46" t="s">
        <v>10</v>
      </c>
      <c r="H46" s="1">
        <v>46055</v>
      </c>
      <c r="I46" t="s">
        <v>11</v>
      </c>
    </row>
    <row r="47" spans="1:9" x14ac:dyDescent="0.3">
      <c r="A47" s="7">
        <f t="shared" si="0"/>
        <v>46</v>
      </c>
      <c r="B47" t="s">
        <v>215</v>
      </c>
      <c r="C47" t="s">
        <v>239</v>
      </c>
      <c r="D47" t="s">
        <v>371</v>
      </c>
      <c r="E47" t="s">
        <v>238</v>
      </c>
      <c r="F47" t="s">
        <v>42</v>
      </c>
      <c r="G47" t="s">
        <v>18</v>
      </c>
      <c r="H47" s="1">
        <v>46055</v>
      </c>
      <c r="I47" t="s">
        <v>11</v>
      </c>
    </row>
    <row r="48" spans="1:9" x14ac:dyDescent="0.3">
      <c r="A48" s="7">
        <f t="shared" si="0"/>
        <v>47</v>
      </c>
      <c r="B48" t="s">
        <v>215</v>
      </c>
      <c r="C48" t="s">
        <v>237</v>
      </c>
      <c r="D48" t="s">
        <v>371</v>
      </c>
      <c r="E48" t="s">
        <v>238</v>
      </c>
      <c r="H48" s="1">
        <v>46055</v>
      </c>
      <c r="I48" t="s">
        <v>11</v>
      </c>
    </row>
    <row r="49" spans="1:9" x14ac:dyDescent="0.3">
      <c r="A49" s="7">
        <f t="shared" si="0"/>
        <v>48</v>
      </c>
      <c r="B49" t="s">
        <v>215</v>
      </c>
      <c r="C49" t="s">
        <v>240</v>
      </c>
      <c r="D49" t="s">
        <v>372</v>
      </c>
      <c r="E49" t="s">
        <v>241</v>
      </c>
      <c r="F49" t="s">
        <v>241</v>
      </c>
      <c r="G49" t="s">
        <v>10</v>
      </c>
      <c r="H49" s="1">
        <v>46055</v>
      </c>
      <c r="I49" t="s">
        <v>11</v>
      </c>
    </row>
    <row r="50" spans="1:9" x14ac:dyDescent="0.3">
      <c r="A50" s="7">
        <f t="shared" si="0"/>
        <v>49</v>
      </c>
      <c r="B50" t="s">
        <v>242</v>
      </c>
      <c r="C50" t="s">
        <v>243</v>
      </c>
      <c r="D50" t="s">
        <v>244</v>
      </c>
      <c r="E50" t="s">
        <v>199</v>
      </c>
      <c r="F50" t="s">
        <v>199</v>
      </c>
      <c r="G50" t="s">
        <v>10</v>
      </c>
      <c r="H50" s="1">
        <v>46058</v>
      </c>
      <c r="I50" t="s">
        <v>11</v>
      </c>
    </row>
    <row r="51" spans="1:9" x14ac:dyDescent="0.3">
      <c r="A51" s="7">
        <f t="shared" si="0"/>
        <v>50</v>
      </c>
      <c r="B51" t="s">
        <v>242</v>
      </c>
      <c r="C51" t="s">
        <v>245</v>
      </c>
      <c r="D51" t="s">
        <v>246</v>
      </c>
      <c r="E51" t="s">
        <v>199</v>
      </c>
      <c r="F51" t="s">
        <v>199</v>
      </c>
      <c r="G51" t="s">
        <v>10</v>
      </c>
      <c r="H51" s="1">
        <v>46058</v>
      </c>
      <c r="I51" t="s">
        <v>11</v>
      </c>
    </row>
    <row r="52" spans="1:9" x14ac:dyDescent="0.3">
      <c r="A52" s="7">
        <f t="shared" si="0"/>
        <v>51</v>
      </c>
      <c r="B52" t="s">
        <v>242</v>
      </c>
      <c r="C52" t="s">
        <v>247</v>
      </c>
      <c r="D52" t="s">
        <v>248</v>
      </c>
      <c r="E52" t="s">
        <v>249</v>
      </c>
      <c r="F52" t="s">
        <v>249</v>
      </c>
      <c r="G52" t="s">
        <v>10</v>
      </c>
      <c r="H52" s="1">
        <v>46058</v>
      </c>
      <c r="I52" t="s">
        <v>11</v>
      </c>
    </row>
    <row r="53" spans="1:9" x14ac:dyDescent="0.3">
      <c r="A53" s="7">
        <f t="shared" si="0"/>
        <v>52</v>
      </c>
      <c r="B53" t="s">
        <v>242</v>
      </c>
      <c r="C53" t="s">
        <v>250</v>
      </c>
      <c r="D53" t="s">
        <v>251</v>
      </c>
      <c r="E53" t="s">
        <v>199</v>
      </c>
      <c r="F53" t="s">
        <v>199</v>
      </c>
      <c r="G53" t="s">
        <v>10</v>
      </c>
      <c r="H53" s="1">
        <v>46058</v>
      </c>
      <c r="I53" t="s">
        <v>11</v>
      </c>
    </row>
    <row r="54" spans="1:9" x14ac:dyDescent="0.3">
      <c r="A54" s="7">
        <f t="shared" si="0"/>
        <v>53</v>
      </c>
      <c r="B54" t="s">
        <v>242</v>
      </c>
      <c r="C54" t="s">
        <v>252</v>
      </c>
      <c r="D54" t="s">
        <v>253</v>
      </c>
      <c r="E54" t="s">
        <v>254</v>
      </c>
      <c r="F54" t="s">
        <v>254</v>
      </c>
      <c r="G54" t="s">
        <v>10</v>
      </c>
      <c r="H54" s="1">
        <v>46058</v>
      </c>
      <c r="I54" t="s">
        <v>11</v>
      </c>
    </row>
    <row r="55" spans="1:9" x14ac:dyDescent="0.3">
      <c r="A55" s="7">
        <f t="shared" si="0"/>
        <v>54</v>
      </c>
      <c r="B55" t="s">
        <v>242</v>
      </c>
      <c r="C55" t="s">
        <v>255</v>
      </c>
      <c r="D55" t="s">
        <v>256</v>
      </c>
      <c r="E55" t="s">
        <v>257</v>
      </c>
      <c r="F55" t="s">
        <v>257</v>
      </c>
      <c r="G55" t="s">
        <v>10</v>
      </c>
      <c r="H55" s="1">
        <v>46058</v>
      </c>
      <c r="I55" t="s">
        <v>11</v>
      </c>
    </row>
    <row r="56" spans="1:9" x14ac:dyDescent="0.3">
      <c r="A56" s="7">
        <f t="shared" si="0"/>
        <v>55</v>
      </c>
      <c r="B56" t="s">
        <v>242</v>
      </c>
      <c r="C56" t="s">
        <v>258</v>
      </c>
      <c r="D56" t="s">
        <v>259</v>
      </c>
      <c r="E56" t="s">
        <v>260</v>
      </c>
      <c r="F56" t="s">
        <v>260</v>
      </c>
      <c r="G56" t="s">
        <v>10</v>
      </c>
      <c r="H56" s="1">
        <v>46058</v>
      </c>
      <c r="I56" t="s">
        <v>11</v>
      </c>
    </row>
    <row r="57" spans="1:9" x14ac:dyDescent="0.3">
      <c r="A57" s="7">
        <f t="shared" si="0"/>
        <v>56</v>
      </c>
      <c r="B57" t="s">
        <v>242</v>
      </c>
      <c r="C57" t="s">
        <v>261</v>
      </c>
      <c r="D57" t="s">
        <v>262</v>
      </c>
      <c r="E57" t="s">
        <v>249</v>
      </c>
      <c r="F57" t="s">
        <v>249</v>
      </c>
      <c r="G57" t="s">
        <v>10</v>
      </c>
      <c r="H57" s="1">
        <v>46058</v>
      </c>
      <c r="I57" t="s">
        <v>11</v>
      </c>
    </row>
    <row r="58" spans="1:9" x14ac:dyDescent="0.3">
      <c r="A58" s="7">
        <f t="shared" si="0"/>
        <v>57</v>
      </c>
      <c r="B58" t="s">
        <v>242</v>
      </c>
      <c r="C58" t="s">
        <v>263</v>
      </c>
      <c r="D58" t="s">
        <v>264</v>
      </c>
      <c r="E58" t="s">
        <v>265</v>
      </c>
      <c r="F58" t="s">
        <v>265</v>
      </c>
      <c r="G58" t="s">
        <v>10</v>
      </c>
      <c r="H58" s="1">
        <v>46058</v>
      </c>
      <c r="I58" t="s">
        <v>11</v>
      </c>
    </row>
    <row r="59" spans="1:9" x14ac:dyDescent="0.3">
      <c r="A59" s="7">
        <f t="shared" si="0"/>
        <v>58</v>
      </c>
      <c r="B59" t="s">
        <v>266</v>
      </c>
      <c r="C59" t="s">
        <v>267</v>
      </c>
      <c r="D59" t="s">
        <v>270</v>
      </c>
      <c r="E59" t="s">
        <v>268</v>
      </c>
      <c r="F59" t="s">
        <v>268</v>
      </c>
      <c r="G59" t="s">
        <v>10</v>
      </c>
      <c r="H59" s="1">
        <v>46069</v>
      </c>
      <c r="I59" t="s">
        <v>11</v>
      </c>
    </row>
    <row r="60" spans="1:9" x14ac:dyDescent="0.3">
      <c r="A60" s="7">
        <f t="shared" si="0"/>
        <v>59</v>
      </c>
      <c r="B60" t="s">
        <v>266</v>
      </c>
      <c r="C60" t="s">
        <v>269</v>
      </c>
      <c r="D60" t="s">
        <v>271</v>
      </c>
      <c r="E60" t="s">
        <v>268</v>
      </c>
      <c r="F60" t="s">
        <v>268</v>
      </c>
      <c r="G60" t="s">
        <v>10</v>
      </c>
      <c r="H60" s="1">
        <v>46070</v>
      </c>
      <c r="I60" t="s">
        <v>11</v>
      </c>
    </row>
    <row r="61" spans="1:9" x14ac:dyDescent="0.3">
      <c r="A61" s="7">
        <f t="shared" si="0"/>
        <v>60</v>
      </c>
      <c r="B61" t="s">
        <v>266</v>
      </c>
      <c r="C61" t="s">
        <v>272</v>
      </c>
      <c r="D61" t="s">
        <v>273</v>
      </c>
      <c r="E61" t="s">
        <v>274</v>
      </c>
      <c r="F61" t="s">
        <v>274</v>
      </c>
      <c r="G61" t="s">
        <v>10</v>
      </c>
      <c r="H61" s="1">
        <v>46070</v>
      </c>
      <c r="I61" t="s">
        <v>11</v>
      </c>
    </row>
    <row r="62" spans="1:9" x14ac:dyDescent="0.3">
      <c r="A62" s="7">
        <f t="shared" si="0"/>
        <v>61</v>
      </c>
      <c r="B62" t="s">
        <v>266</v>
      </c>
      <c r="C62" t="s">
        <v>275</v>
      </c>
      <c r="D62" t="s">
        <v>276</v>
      </c>
      <c r="E62" t="s">
        <v>13</v>
      </c>
      <c r="F62" t="s">
        <v>13</v>
      </c>
      <c r="G62" t="s">
        <v>10</v>
      </c>
      <c r="H62" s="1">
        <v>46070</v>
      </c>
      <c r="I62" t="s">
        <v>11</v>
      </c>
    </row>
    <row r="63" spans="1:9" x14ac:dyDescent="0.3">
      <c r="A63" s="7">
        <f t="shared" si="0"/>
        <v>62</v>
      </c>
      <c r="B63" t="s">
        <v>266</v>
      </c>
      <c r="C63" t="s">
        <v>277</v>
      </c>
      <c r="D63" t="s">
        <v>278</v>
      </c>
      <c r="E63" t="s">
        <v>14</v>
      </c>
      <c r="F63" t="s">
        <v>14</v>
      </c>
      <c r="G63" t="s">
        <v>10</v>
      </c>
      <c r="H63" s="1">
        <v>46070</v>
      </c>
      <c r="I63" t="s">
        <v>11</v>
      </c>
    </row>
    <row r="64" spans="1:9" x14ac:dyDescent="0.3">
      <c r="A64" s="7">
        <f t="shared" si="0"/>
        <v>63</v>
      </c>
      <c r="B64" t="s">
        <v>266</v>
      </c>
      <c r="C64" t="s">
        <v>279</v>
      </c>
      <c r="D64" t="s">
        <v>280</v>
      </c>
      <c r="E64" t="s">
        <v>281</v>
      </c>
      <c r="F64" t="s">
        <v>281</v>
      </c>
      <c r="G64" t="s">
        <v>10</v>
      </c>
      <c r="H64" s="1">
        <v>46070</v>
      </c>
      <c r="I64" t="s">
        <v>11</v>
      </c>
    </row>
    <row r="65" spans="1:9" x14ac:dyDescent="0.3">
      <c r="A65" s="7">
        <f t="shared" si="0"/>
        <v>64</v>
      </c>
      <c r="B65" t="s">
        <v>266</v>
      </c>
      <c r="C65" t="s">
        <v>282</v>
      </c>
      <c r="D65" t="s">
        <v>283</v>
      </c>
      <c r="E65" t="s">
        <v>284</v>
      </c>
      <c r="F65" t="s">
        <v>284</v>
      </c>
      <c r="G65" t="s">
        <v>10</v>
      </c>
      <c r="H65" s="1">
        <v>46070</v>
      </c>
      <c r="I65" t="s">
        <v>11</v>
      </c>
    </row>
    <row r="66" spans="1:9" x14ac:dyDescent="0.3">
      <c r="A66" s="7">
        <f t="shared" si="0"/>
        <v>65</v>
      </c>
      <c r="B66" t="s">
        <v>266</v>
      </c>
      <c r="C66" t="s">
        <v>285</v>
      </c>
      <c r="D66" t="s">
        <v>286</v>
      </c>
      <c r="E66" t="s">
        <v>287</v>
      </c>
      <c r="F66" t="s">
        <v>287</v>
      </c>
      <c r="G66" t="s">
        <v>10</v>
      </c>
      <c r="H66" s="1">
        <v>46070</v>
      </c>
      <c r="I66" t="s">
        <v>11</v>
      </c>
    </row>
    <row r="67" spans="1:9" x14ac:dyDescent="0.3">
      <c r="A67" s="7">
        <f t="shared" si="0"/>
        <v>66</v>
      </c>
      <c r="B67" t="s">
        <v>266</v>
      </c>
      <c r="C67" t="s">
        <v>288</v>
      </c>
      <c r="D67" t="s">
        <v>289</v>
      </c>
      <c r="E67" t="s">
        <v>290</v>
      </c>
      <c r="F67" t="s">
        <v>290</v>
      </c>
      <c r="G67" t="s">
        <v>10</v>
      </c>
      <c r="H67" s="1">
        <v>46070</v>
      </c>
      <c r="I67" t="s">
        <v>11</v>
      </c>
    </row>
    <row r="68" spans="1:9" x14ac:dyDescent="0.3">
      <c r="A68" s="7">
        <f t="shared" ref="A68:A74" si="1">A67+1</f>
        <v>67</v>
      </c>
      <c r="B68" t="s">
        <v>266</v>
      </c>
      <c r="C68" t="s">
        <v>291</v>
      </c>
      <c r="D68" t="s">
        <v>292</v>
      </c>
      <c r="E68" t="s">
        <v>293</v>
      </c>
      <c r="F68" t="s">
        <v>293</v>
      </c>
      <c r="G68" t="s">
        <v>10</v>
      </c>
      <c r="H68" s="1">
        <v>46070</v>
      </c>
      <c r="I68" t="s">
        <v>11</v>
      </c>
    </row>
    <row r="69" spans="1:9" x14ac:dyDescent="0.3">
      <c r="A69" s="7">
        <f t="shared" si="1"/>
        <v>68</v>
      </c>
      <c r="B69" t="s">
        <v>266</v>
      </c>
      <c r="C69" t="s">
        <v>294</v>
      </c>
      <c r="D69" t="s">
        <v>295</v>
      </c>
      <c r="E69" t="s">
        <v>296</v>
      </c>
      <c r="F69" t="s">
        <v>296</v>
      </c>
      <c r="G69" t="s">
        <v>10</v>
      </c>
      <c r="H69" s="1">
        <v>46070</v>
      </c>
      <c r="I69" t="s">
        <v>11</v>
      </c>
    </row>
    <row r="70" spans="1:9" x14ac:dyDescent="0.3">
      <c r="A70" s="7">
        <f t="shared" si="1"/>
        <v>69</v>
      </c>
      <c r="B70" t="s">
        <v>266</v>
      </c>
      <c r="C70" t="s">
        <v>243</v>
      </c>
      <c r="D70" t="s">
        <v>244</v>
      </c>
      <c r="E70" t="s">
        <v>297</v>
      </c>
      <c r="F70" t="s">
        <v>297</v>
      </c>
      <c r="G70" t="s">
        <v>10</v>
      </c>
      <c r="H70" s="1">
        <v>46070</v>
      </c>
      <c r="I70" t="s">
        <v>11</v>
      </c>
    </row>
    <row r="71" spans="1:9" x14ac:dyDescent="0.3">
      <c r="A71" s="7">
        <f>A70+1</f>
        <v>70</v>
      </c>
      <c r="B71" t="s">
        <v>266</v>
      </c>
      <c r="C71" t="s">
        <v>298</v>
      </c>
      <c r="D71" t="s">
        <v>299</v>
      </c>
      <c r="E71" t="s">
        <v>300</v>
      </c>
      <c r="F71" t="s">
        <v>300</v>
      </c>
      <c r="G71" t="s">
        <v>10</v>
      </c>
      <c r="H71" s="1">
        <v>46070</v>
      </c>
      <c r="I71" t="s">
        <v>11</v>
      </c>
    </row>
    <row r="72" spans="1:9" x14ac:dyDescent="0.3">
      <c r="A72" s="7">
        <f>A71+1</f>
        <v>71</v>
      </c>
      <c r="B72" t="s">
        <v>266</v>
      </c>
      <c r="C72" t="s">
        <v>301</v>
      </c>
      <c r="D72" t="s">
        <v>302</v>
      </c>
      <c r="E72" t="s">
        <v>303</v>
      </c>
      <c r="F72" t="s">
        <v>303</v>
      </c>
      <c r="G72" t="s">
        <v>10</v>
      </c>
      <c r="H72" s="1">
        <v>46070</v>
      </c>
      <c r="I72" t="s">
        <v>11</v>
      </c>
    </row>
    <row r="73" spans="1:9" x14ac:dyDescent="0.3">
      <c r="A73" s="7">
        <f t="shared" si="1"/>
        <v>72</v>
      </c>
      <c r="B73" t="s">
        <v>266</v>
      </c>
      <c r="C73" t="s">
        <v>304</v>
      </c>
      <c r="D73" t="s">
        <v>259</v>
      </c>
      <c r="E73" t="s">
        <v>305</v>
      </c>
      <c r="F73" t="s">
        <v>305</v>
      </c>
      <c r="G73" t="s">
        <v>10</v>
      </c>
      <c r="H73" s="1">
        <v>46070</v>
      </c>
      <c r="I73" t="s">
        <v>11</v>
      </c>
    </row>
    <row r="74" spans="1:9" x14ac:dyDescent="0.3">
      <c r="A74" s="7">
        <f t="shared" si="1"/>
        <v>73</v>
      </c>
      <c r="B74" t="s">
        <v>266</v>
      </c>
      <c r="C74" t="s">
        <v>306</v>
      </c>
      <c r="D74" t="s">
        <v>307</v>
      </c>
      <c r="E74" t="s">
        <v>308</v>
      </c>
      <c r="F74" t="s">
        <v>308</v>
      </c>
      <c r="G74" t="s">
        <v>10</v>
      </c>
      <c r="H74" s="1">
        <v>46070</v>
      </c>
      <c r="I74" t="s">
        <v>11</v>
      </c>
    </row>
    <row r="75" spans="1:9" x14ac:dyDescent="0.3">
      <c r="A75" s="7">
        <f>A74+1</f>
        <v>74</v>
      </c>
      <c r="B75" t="s">
        <v>266</v>
      </c>
      <c r="C75" t="s">
        <v>309</v>
      </c>
      <c r="D75" t="s">
        <v>310</v>
      </c>
      <c r="E75" t="s">
        <v>311</v>
      </c>
      <c r="F75" t="s">
        <v>311</v>
      </c>
      <c r="G75" t="s">
        <v>10</v>
      </c>
      <c r="H75" s="1">
        <v>46070</v>
      </c>
      <c r="I75" t="s">
        <v>11</v>
      </c>
    </row>
    <row r="76" spans="1:9" x14ac:dyDescent="0.3">
      <c r="A76" s="7">
        <f t="shared" ref="A76:A139" si="2">A75+1</f>
        <v>75</v>
      </c>
      <c r="B76" t="s">
        <v>266</v>
      </c>
      <c r="C76" t="s">
        <v>312</v>
      </c>
      <c r="D76" t="s">
        <v>313</v>
      </c>
      <c r="E76" t="s">
        <v>308</v>
      </c>
      <c r="F76" t="s">
        <v>308</v>
      </c>
      <c r="G76" t="s">
        <v>10</v>
      </c>
      <c r="H76" s="1">
        <v>46070</v>
      </c>
      <c r="I76" t="s">
        <v>11</v>
      </c>
    </row>
    <row r="77" spans="1:9" x14ac:dyDescent="0.3">
      <c r="A77" s="7">
        <f t="shared" si="2"/>
        <v>76</v>
      </c>
      <c r="B77" t="s">
        <v>266</v>
      </c>
      <c r="C77" t="s">
        <v>314</v>
      </c>
      <c r="D77" t="s">
        <v>315</v>
      </c>
      <c r="E77" t="s">
        <v>316</v>
      </c>
      <c r="F77" t="s">
        <v>316</v>
      </c>
      <c r="G77" t="s">
        <v>10</v>
      </c>
      <c r="H77" s="1">
        <v>46070</v>
      </c>
      <c r="I77" t="s">
        <v>11</v>
      </c>
    </row>
    <row r="78" spans="1:9" x14ac:dyDescent="0.3">
      <c r="A78" s="7">
        <f t="shared" si="2"/>
        <v>77</v>
      </c>
      <c r="B78" t="s">
        <v>266</v>
      </c>
      <c r="C78" t="s">
        <v>317</v>
      </c>
      <c r="D78" t="s">
        <v>318</v>
      </c>
      <c r="E78" t="s">
        <v>319</v>
      </c>
      <c r="F78" t="s">
        <v>319</v>
      </c>
      <c r="G78" t="s">
        <v>10</v>
      </c>
      <c r="H78" s="1">
        <v>46070</v>
      </c>
      <c r="I78" t="s">
        <v>11</v>
      </c>
    </row>
    <row r="79" spans="1:9" x14ac:dyDescent="0.3">
      <c r="A79" s="7">
        <f t="shared" si="2"/>
        <v>78</v>
      </c>
      <c r="B79" t="s">
        <v>266</v>
      </c>
      <c r="C79" t="s">
        <v>30</v>
      </c>
      <c r="D79" t="s">
        <v>351</v>
      </c>
      <c r="E79" t="s">
        <v>316</v>
      </c>
      <c r="F79" t="s">
        <v>316</v>
      </c>
      <c r="G79" t="s">
        <v>10</v>
      </c>
      <c r="H79" s="1">
        <v>46070</v>
      </c>
      <c r="I79" t="s">
        <v>11</v>
      </c>
    </row>
    <row r="80" spans="1:9" x14ac:dyDescent="0.3">
      <c r="A80" s="7">
        <f t="shared" si="2"/>
        <v>79</v>
      </c>
      <c r="B80" t="s">
        <v>266</v>
      </c>
      <c r="C80" t="s">
        <v>320</v>
      </c>
      <c r="D80" t="s">
        <v>373</v>
      </c>
      <c r="E80" t="s">
        <v>321</v>
      </c>
      <c r="F80" t="s">
        <v>321</v>
      </c>
      <c r="G80" t="s">
        <v>10</v>
      </c>
      <c r="H80" s="1">
        <v>46070</v>
      </c>
      <c r="I80" t="s">
        <v>11</v>
      </c>
    </row>
    <row r="81" spans="1:9" x14ac:dyDescent="0.3">
      <c r="A81" s="7">
        <f t="shared" si="2"/>
        <v>80</v>
      </c>
      <c r="B81" t="s">
        <v>266</v>
      </c>
      <c r="C81" t="s">
        <v>27</v>
      </c>
      <c r="D81" t="s">
        <v>374</v>
      </c>
      <c r="E81" t="s">
        <v>322</v>
      </c>
      <c r="F81" t="s">
        <v>322</v>
      </c>
      <c r="G81" t="s">
        <v>10</v>
      </c>
      <c r="H81" s="1">
        <v>46070</v>
      </c>
      <c r="I81" t="s">
        <v>11</v>
      </c>
    </row>
    <row r="82" spans="1:9" x14ac:dyDescent="0.3">
      <c r="A82" s="7">
        <f t="shared" si="2"/>
        <v>81</v>
      </c>
      <c r="B82" t="s">
        <v>266</v>
      </c>
      <c r="C82" t="s">
        <v>323</v>
      </c>
      <c r="D82" t="s">
        <v>375</v>
      </c>
      <c r="E82" t="s">
        <v>322</v>
      </c>
      <c r="F82" t="s">
        <v>322</v>
      </c>
      <c r="G82" t="s">
        <v>10</v>
      </c>
      <c r="H82" s="1">
        <v>46070</v>
      </c>
      <c r="I82" t="s">
        <v>11</v>
      </c>
    </row>
    <row r="83" spans="1:9" x14ac:dyDescent="0.3">
      <c r="A83" s="7">
        <f t="shared" si="2"/>
        <v>82</v>
      </c>
      <c r="B83" t="s">
        <v>266</v>
      </c>
      <c r="C83" t="s">
        <v>324</v>
      </c>
      <c r="D83" t="s">
        <v>376</v>
      </c>
      <c r="E83" t="s">
        <v>325</v>
      </c>
      <c r="F83" t="s">
        <v>325</v>
      </c>
      <c r="G83" t="s">
        <v>10</v>
      </c>
      <c r="H83" s="1">
        <v>46070</v>
      </c>
      <c r="I83" t="s">
        <v>11</v>
      </c>
    </row>
    <row r="84" spans="1:9" x14ac:dyDescent="0.3">
      <c r="A84" s="7">
        <f t="shared" si="2"/>
        <v>83</v>
      </c>
      <c r="B84" t="s">
        <v>266</v>
      </c>
      <c r="C84" t="s">
        <v>326</v>
      </c>
      <c r="D84" t="s">
        <v>352</v>
      </c>
      <c r="E84" t="s">
        <v>327</v>
      </c>
      <c r="F84" t="s">
        <v>327</v>
      </c>
      <c r="G84" t="s">
        <v>10</v>
      </c>
      <c r="H84" s="1">
        <v>46070</v>
      </c>
      <c r="I84" t="s">
        <v>11</v>
      </c>
    </row>
    <row r="85" spans="1:9" x14ac:dyDescent="0.3">
      <c r="A85" s="7">
        <f t="shared" si="2"/>
        <v>84</v>
      </c>
      <c r="B85" t="s">
        <v>266</v>
      </c>
      <c r="C85" t="s">
        <v>328</v>
      </c>
      <c r="D85" t="s">
        <v>377</v>
      </c>
      <c r="E85" t="s">
        <v>329</v>
      </c>
      <c r="F85" t="s">
        <v>329</v>
      </c>
      <c r="G85" t="s">
        <v>10</v>
      </c>
      <c r="H85" s="1">
        <v>46070</v>
      </c>
      <c r="I85" t="s">
        <v>11</v>
      </c>
    </row>
    <row r="86" spans="1:9" x14ac:dyDescent="0.3">
      <c r="A86" s="7">
        <f t="shared" si="2"/>
        <v>85</v>
      </c>
      <c r="B86" t="s">
        <v>266</v>
      </c>
      <c r="C86" t="s">
        <v>330</v>
      </c>
      <c r="D86" t="s">
        <v>355</v>
      </c>
      <c r="E86" t="s">
        <v>331</v>
      </c>
      <c r="F86" t="s">
        <v>331</v>
      </c>
      <c r="G86" t="s">
        <v>10</v>
      </c>
      <c r="H86" s="1">
        <v>46070</v>
      </c>
      <c r="I86" t="s">
        <v>11</v>
      </c>
    </row>
    <row r="87" spans="1:9" x14ac:dyDescent="0.3">
      <c r="A87" s="7">
        <f t="shared" si="2"/>
        <v>86</v>
      </c>
      <c r="B87" t="s">
        <v>266</v>
      </c>
      <c r="C87" t="s">
        <v>332</v>
      </c>
      <c r="D87" t="s">
        <v>378</v>
      </c>
      <c r="E87" t="s">
        <v>333</v>
      </c>
      <c r="F87" t="s">
        <v>333</v>
      </c>
      <c r="G87" t="s">
        <v>10</v>
      </c>
      <c r="H87" s="1">
        <v>46070</v>
      </c>
      <c r="I87" t="s">
        <v>11</v>
      </c>
    </row>
    <row r="88" spans="1:9" x14ac:dyDescent="0.3">
      <c r="A88" s="7">
        <f t="shared" si="2"/>
        <v>87</v>
      </c>
      <c r="B88" t="s">
        <v>266</v>
      </c>
      <c r="C88" t="s">
        <v>334</v>
      </c>
      <c r="D88" t="s">
        <v>353</v>
      </c>
      <c r="E88" t="s">
        <v>335</v>
      </c>
      <c r="F88" t="s">
        <v>335</v>
      </c>
      <c r="G88" t="s">
        <v>10</v>
      </c>
      <c r="H88" s="1">
        <v>46070</v>
      </c>
      <c r="I88" t="s">
        <v>11</v>
      </c>
    </row>
    <row r="89" spans="1:9" x14ac:dyDescent="0.3">
      <c r="A89" s="7">
        <f t="shared" si="2"/>
        <v>88</v>
      </c>
      <c r="B89" t="s">
        <v>266</v>
      </c>
      <c r="C89" t="s">
        <v>336</v>
      </c>
      <c r="D89" t="s">
        <v>379</v>
      </c>
      <c r="E89" t="s">
        <v>321</v>
      </c>
      <c r="F89" t="s">
        <v>321</v>
      </c>
      <c r="G89" t="s">
        <v>10</v>
      </c>
      <c r="H89" s="1">
        <v>46070</v>
      </c>
      <c r="I89" t="s">
        <v>11</v>
      </c>
    </row>
    <row r="90" spans="1:9" x14ac:dyDescent="0.3">
      <c r="A90" s="7">
        <f t="shared" si="2"/>
        <v>89</v>
      </c>
      <c r="B90" t="s">
        <v>266</v>
      </c>
      <c r="C90" t="s">
        <v>337</v>
      </c>
      <c r="D90" t="s">
        <v>380</v>
      </c>
      <c r="E90" t="s">
        <v>338</v>
      </c>
      <c r="F90" t="s">
        <v>338</v>
      </c>
      <c r="G90" t="s">
        <v>10</v>
      </c>
      <c r="H90" s="1">
        <v>46070</v>
      </c>
      <c r="I90" t="s">
        <v>11</v>
      </c>
    </row>
    <row r="91" spans="1:9" x14ac:dyDescent="0.3">
      <c r="A91" s="7">
        <f t="shared" si="2"/>
        <v>90</v>
      </c>
      <c r="B91" t="s">
        <v>266</v>
      </c>
      <c r="C91" t="s">
        <v>339</v>
      </c>
      <c r="D91" t="s">
        <v>359</v>
      </c>
      <c r="E91" t="s">
        <v>340</v>
      </c>
      <c r="F91" t="s">
        <v>340</v>
      </c>
      <c r="G91" t="s">
        <v>10</v>
      </c>
      <c r="H91" s="1">
        <v>46070</v>
      </c>
      <c r="I91" t="s">
        <v>11</v>
      </c>
    </row>
    <row r="92" spans="1:9" x14ac:dyDescent="0.3">
      <c r="A92" s="7">
        <f t="shared" si="2"/>
        <v>91</v>
      </c>
      <c r="B92" t="s">
        <v>266</v>
      </c>
      <c r="C92" t="s">
        <v>341</v>
      </c>
      <c r="D92" t="s">
        <v>381</v>
      </c>
      <c r="E92" t="s">
        <v>342</v>
      </c>
      <c r="F92" t="s">
        <v>342</v>
      </c>
      <c r="G92" t="s">
        <v>10</v>
      </c>
      <c r="H92" s="1">
        <v>46070</v>
      </c>
      <c r="I92" t="s">
        <v>11</v>
      </c>
    </row>
    <row r="93" spans="1:9" x14ac:dyDescent="0.3">
      <c r="A93" s="7">
        <f t="shared" si="2"/>
        <v>92</v>
      </c>
      <c r="B93" t="s">
        <v>266</v>
      </c>
      <c r="C93" t="s">
        <v>343</v>
      </c>
      <c r="D93" t="s">
        <v>382</v>
      </c>
      <c r="E93" t="s">
        <v>316</v>
      </c>
      <c r="F93" t="s">
        <v>316</v>
      </c>
      <c r="G93" t="s">
        <v>10</v>
      </c>
      <c r="H93" s="1">
        <v>46070</v>
      </c>
      <c r="I93" t="s">
        <v>11</v>
      </c>
    </row>
    <row r="94" spans="1:9" x14ac:dyDescent="0.3">
      <c r="A94" s="7">
        <f t="shared" si="2"/>
        <v>93</v>
      </c>
      <c r="B94" t="s">
        <v>266</v>
      </c>
      <c r="C94" t="s">
        <v>344</v>
      </c>
      <c r="D94" t="s">
        <v>383</v>
      </c>
      <c r="E94" t="s">
        <v>325</v>
      </c>
      <c r="F94" t="s">
        <v>325</v>
      </c>
      <c r="G94" t="s">
        <v>10</v>
      </c>
      <c r="H94" s="1">
        <v>46070</v>
      </c>
      <c r="I94" t="s">
        <v>11</v>
      </c>
    </row>
    <row r="95" spans="1:9" x14ac:dyDescent="0.3">
      <c r="A95" s="7">
        <f t="shared" si="2"/>
        <v>94</v>
      </c>
      <c r="B95" t="s">
        <v>266</v>
      </c>
      <c r="C95" t="s">
        <v>345</v>
      </c>
      <c r="D95" t="s">
        <v>346</v>
      </c>
      <c r="E95" t="s">
        <v>347</v>
      </c>
      <c r="F95" t="s">
        <v>347</v>
      </c>
      <c r="G95" t="s">
        <v>10</v>
      </c>
      <c r="H95" s="1">
        <v>46070</v>
      </c>
      <c r="I95" t="s">
        <v>11</v>
      </c>
    </row>
    <row r="96" spans="1:9" x14ac:dyDescent="0.3">
      <c r="A96" s="7">
        <f t="shared" si="2"/>
        <v>95</v>
      </c>
      <c r="B96" t="s">
        <v>266</v>
      </c>
      <c r="C96" t="s">
        <v>348</v>
      </c>
      <c r="D96" t="s">
        <v>349</v>
      </c>
      <c r="E96" t="s">
        <v>384</v>
      </c>
      <c r="F96" t="s">
        <v>384</v>
      </c>
      <c r="G96" t="s">
        <v>10</v>
      </c>
      <c r="H96" s="1">
        <v>46070</v>
      </c>
      <c r="I96" t="s">
        <v>11</v>
      </c>
    </row>
    <row r="97" spans="1:9" x14ac:dyDescent="0.3">
      <c r="A97" s="7">
        <f t="shared" si="2"/>
        <v>96</v>
      </c>
      <c r="B97" t="s">
        <v>266</v>
      </c>
      <c r="C97" t="s">
        <v>385</v>
      </c>
      <c r="D97" t="s">
        <v>386</v>
      </c>
      <c r="E97" t="s">
        <v>387</v>
      </c>
      <c r="F97" t="s">
        <v>387</v>
      </c>
      <c r="G97" t="s">
        <v>10</v>
      </c>
      <c r="H97" s="1">
        <v>46070</v>
      </c>
      <c r="I97" t="s">
        <v>11</v>
      </c>
    </row>
    <row r="98" spans="1:9" x14ac:dyDescent="0.3">
      <c r="A98" s="7">
        <f t="shared" si="2"/>
        <v>97</v>
      </c>
      <c r="B98" t="s">
        <v>266</v>
      </c>
      <c r="C98" t="s">
        <v>388</v>
      </c>
      <c r="D98" t="s">
        <v>389</v>
      </c>
      <c r="E98" t="s">
        <v>342</v>
      </c>
      <c r="F98" t="s">
        <v>342</v>
      </c>
      <c r="G98" t="s">
        <v>10</v>
      </c>
      <c r="H98" s="1">
        <v>46070</v>
      </c>
      <c r="I98" t="s">
        <v>11</v>
      </c>
    </row>
    <row r="99" spans="1:9" x14ac:dyDescent="0.3">
      <c r="A99" s="7">
        <f t="shared" si="2"/>
        <v>98</v>
      </c>
      <c r="B99" t="s">
        <v>266</v>
      </c>
      <c r="C99" t="s">
        <v>390</v>
      </c>
      <c r="D99" t="s">
        <v>391</v>
      </c>
      <c r="E99" t="s">
        <v>392</v>
      </c>
      <c r="F99" t="s">
        <v>392</v>
      </c>
      <c r="G99" t="s">
        <v>10</v>
      </c>
      <c r="H99" s="1">
        <v>46070</v>
      </c>
    </row>
    <row r="100" spans="1:9" x14ac:dyDescent="0.3">
      <c r="A100" s="7">
        <f t="shared" si="2"/>
        <v>99</v>
      </c>
      <c r="B100" t="s">
        <v>266</v>
      </c>
      <c r="C100" t="s">
        <v>393</v>
      </c>
      <c r="D100" t="s">
        <v>394</v>
      </c>
      <c r="E100" t="s">
        <v>342</v>
      </c>
      <c r="F100" t="s">
        <v>342</v>
      </c>
      <c r="G100" t="s">
        <v>10</v>
      </c>
      <c r="H100" s="1">
        <f>H99</f>
        <v>46070</v>
      </c>
    </row>
    <row r="101" spans="1:9" x14ac:dyDescent="0.3">
      <c r="A101" s="7">
        <f t="shared" si="2"/>
        <v>100</v>
      </c>
      <c r="B101" t="s">
        <v>266</v>
      </c>
      <c r="C101" t="s">
        <v>395</v>
      </c>
      <c r="D101" t="s">
        <v>396</v>
      </c>
      <c r="E101" t="s">
        <v>397</v>
      </c>
      <c r="F101" t="s">
        <v>397</v>
      </c>
      <c r="G101" t="s">
        <v>10</v>
      </c>
      <c r="H101" s="1">
        <f t="shared" ref="H101:H126" si="3">H100</f>
        <v>46070</v>
      </c>
    </row>
    <row r="102" spans="1:9" x14ac:dyDescent="0.3">
      <c r="A102" s="7">
        <f t="shared" si="2"/>
        <v>101</v>
      </c>
      <c r="B102" t="s">
        <v>266</v>
      </c>
      <c r="C102" t="s">
        <v>398</v>
      </c>
      <c r="D102" t="s">
        <v>399</v>
      </c>
      <c r="E102" t="s">
        <v>316</v>
      </c>
      <c r="F102" t="s">
        <v>316</v>
      </c>
      <c r="G102" t="s">
        <v>10</v>
      </c>
      <c r="H102" s="1">
        <f t="shared" si="3"/>
        <v>46070</v>
      </c>
    </row>
    <row r="103" spans="1:9" x14ac:dyDescent="0.3">
      <c r="A103" s="7">
        <f t="shared" si="2"/>
        <v>102</v>
      </c>
      <c r="B103" t="s">
        <v>266</v>
      </c>
      <c r="C103" t="s">
        <v>400</v>
      </c>
      <c r="D103" t="s">
        <v>401</v>
      </c>
      <c r="E103" t="s">
        <v>402</v>
      </c>
      <c r="F103" t="s">
        <v>402</v>
      </c>
      <c r="G103" t="s">
        <v>10</v>
      </c>
      <c r="H103" s="1">
        <f t="shared" si="3"/>
        <v>46070</v>
      </c>
    </row>
    <row r="104" spans="1:9" x14ac:dyDescent="0.3">
      <c r="A104" s="7">
        <f t="shared" si="2"/>
        <v>103</v>
      </c>
      <c r="B104" t="s">
        <v>266</v>
      </c>
      <c r="C104" t="s">
        <v>404</v>
      </c>
      <c r="D104" t="s">
        <v>403</v>
      </c>
      <c r="E104" t="s">
        <v>316</v>
      </c>
      <c r="F104" t="s">
        <v>316</v>
      </c>
      <c r="G104" t="s">
        <v>10</v>
      </c>
      <c r="H104" s="1">
        <f t="shared" si="3"/>
        <v>46070</v>
      </c>
    </row>
    <row r="105" spans="1:9" x14ac:dyDescent="0.3">
      <c r="A105" s="7">
        <f t="shared" si="2"/>
        <v>104</v>
      </c>
      <c r="B105" t="s">
        <v>266</v>
      </c>
      <c r="C105" t="s">
        <v>405</v>
      </c>
      <c r="D105" t="s">
        <v>406</v>
      </c>
      <c r="E105" t="s">
        <v>407</v>
      </c>
      <c r="F105" t="s">
        <v>407</v>
      </c>
      <c r="G105" t="s">
        <v>10</v>
      </c>
      <c r="H105" s="1">
        <f t="shared" si="3"/>
        <v>46070</v>
      </c>
    </row>
    <row r="106" spans="1:9" x14ac:dyDescent="0.3">
      <c r="A106" s="7">
        <f t="shared" si="2"/>
        <v>105</v>
      </c>
      <c r="B106" t="s">
        <v>266</v>
      </c>
      <c r="C106" t="s">
        <v>408</v>
      </c>
      <c r="D106" t="s">
        <v>409</v>
      </c>
      <c r="E106" t="s">
        <v>410</v>
      </c>
      <c r="F106" t="s">
        <v>410</v>
      </c>
      <c r="G106" t="s">
        <v>10</v>
      </c>
      <c r="H106" s="1">
        <f t="shared" si="3"/>
        <v>46070</v>
      </c>
    </row>
    <row r="107" spans="1:9" x14ac:dyDescent="0.3">
      <c r="A107" s="7">
        <f t="shared" si="2"/>
        <v>106</v>
      </c>
      <c r="B107" t="s">
        <v>266</v>
      </c>
      <c r="C107" t="s">
        <v>411</v>
      </c>
      <c r="D107" t="s">
        <v>412</v>
      </c>
      <c r="E107" t="s">
        <v>402</v>
      </c>
      <c r="F107" t="s">
        <v>402</v>
      </c>
      <c r="G107" t="s">
        <v>10</v>
      </c>
      <c r="H107" s="1">
        <f t="shared" si="3"/>
        <v>46070</v>
      </c>
    </row>
    <row r="108" spans="1:9" x14ac:dyDescent="0.3">
      <c r="A108" s="7">
        <f t="shared" si="2"/>
        <v>107</v>
      </c>
      <c r="B108" t="s">
        <v>266</v>
      </c>
      <c r="C108" t="s">
        <v>413</v>
      </c>
      <c r="D108" t="s">
        <v>414</v>
      </c>
      <c r="E108" t="s">
        <v>417</v>
      </c>
      <c r="F108" t="s">
        <v>417</v>
      </c>
      <c r="G108" t="s">
        <v>10</v>
      </c>
      <c r="H108" s="1">
        <f t="shared" si="3"/>
        <v>46070</v>
      </c>
    </row>
    <row r="109" spans="1:9" x14ac:dyDescent="0.3">
      <c r="A109" s="7">
        <f t="shared" si="2"/>
        <v>108</v>
      </c>
      <c r="B109" t="s">
        <v>266</v>
      </c>
      <c r="C109" t="s">
        <v>415</v>
      </c>
      <c r="D109" t="s">
        <v>416</v>
      </c>
      <c r="E109" t="s">
        <v>418</v>
      </c>
      <c r="F109" t="s">
        <v>418</v>
      </c>
      <c r="G109" t="s">
        <v>10</v>
      </c>
      <c r="H109" s="1">
        <f t="shared" si="3"/>
        <v>46070</v>
      </c>
    </row>
    <row r="110" spans="1:9" x14ac:dyDescent="0.3">
      <c r="A110" s="7">
        <f t="shared" si="2"/>
        <v>109</v>
      </c>
      <c r="B110" t="s">
        <v>266</v>
      </c>
      <c r="C110" t="s">
        <v>419</v>
      </c>
      <c r="D110" t="s">
        <v>420</v>
      </c>
      <c r="E110" t="s">
        <v>316</v>
      </c>
      <c r="F110" t="s">
        <v>316</v>
      </c>
      <c r="G110" t="s">
        <v>10</v>
      </c>
      <c r="H110" s="1">
        <f t="shared" si="3"/>
        <v>46070</v>
      </c>
    </row>
    <row r="111" spans="1:9" x14ac:dyDescent="0.3">
      <c r="A111" s="7">
        <f t="shared" si="2"/>
        <v>110</v>
      </c>
      <c r="B111" t="s">
        <v>266</v>
      </c>
      <c r="C111" t="s">
        <v>421</v>
      </c>
      <c r="D111" t="s">
        <v>422</v>
      </c>
      <c r="E111" t="s">
        <v>316</v>
      </c>
      <c r="F111" t="s">
        <v>316</v>
      </c>
      <c r="G111" t="s">
        <v>10</v>
      </c>
      <c r="H111" s="1">
        <f t="shared" si="3"/>
        <v>46070</v>
      </c>
    </row>
    <row r="112" spans="1:9" x14ac:dyDescent="0.3">
      <c r="A112" s="7">
        <f t="shared" si="2"/>
        <v>111</v>
      </c>
      <c r="B112" t="s">
        <v>266</v>
      </c>
      <c r="C112" t="s">
        <v>220</v>
      </c>
      <c r="D112" t="s">
        <v>423</v>
      </c>
      <c r="E112" t="s">
        <v>425</v>
      </c>
      <c r="F112" t="s">
        <v>425</v>
      </c>
      <c r="G112" t="s">
        <v>10</v>
      </c>
      <c r="H112" s="1">
        <f t="shared" si="3"/>
        <v>46070</v>
      </c>
    </row>
    <row r="113" spans="1:8" x14ac:dyDescent="0.3">
      <c r="A113" s="7">
        <f t="shared" si="2"/>
        <v>112</v>
      </c>
      <c r="B113" t="s">
        <v>266</v>
      </c>
      <c r="C113" t="s">
        <v>424</v>
      </c>
      <c r="D113" t="s">
        <v>423</v>
      </c>
      <c r="E113" t="s">
        <v>425</v>
      </c>
      <c r="F113" t="s">
        <v>426</v>
      </c>
      <c r="G113" t="s">
        <v>18</v>
      </c>
      <c r="H113" s="1">
        <f t="shared" si="3"/>
        <v>46070</v>
      </c>
    </row>
    <row r="114" spans="1:8" x14ac:dyDescent="0.3">
      <c r="A114" s="7">
        <f t="shared" si="2"/>
        <v>113</v>
      </c>
      <c r="B114" t="s">
        <v>266</v>
      </c>
      <c r="C114" t="s">
        <v>427</v>
      </c>
      <c r="D114" t="s">
        <v>428</v>
      </c>
      <c r="E114" t="s">
        <v>429</v>
      </c>
      <c r="F114" t="s">
        <v>429</v>
      </c>
      <c r="G114" t="s">
        <v>10</v>
      </c>
      <c r="H114" s="1">
        <f t="shared" si="3"/>
        <v>46070</v>
      </c>
    </row>
    <row r="115" spans="1:8" x14ac:dyDescent="0.3">
      <c r="A115" s="7">
        <f t="shared" si="2"/>
        <v>114</v>
      </c>
      <c r="B115" t="str">
        <f>B114</f>
        <v>CPG-51</v>
      </c>
      <c r="C115" t="s">
        <v>430</v>
      </c>
      <c r="D115" t="s">
        <v>431</v>
      </c>
      <c r="E115" t="s">
        <v>432</v>
      </c>
      <c r="F115" t="s">
        <v>432</v>
      </c>
      <c r="G115" t="s">
        <v>10</v>
      </c>
      <c r="H115" s="1">
        <f t="shared" si="3"/>
        <v>46070</v>
      </c>
    </row>
    <row r="116" spans="1:8" x14ac:dyDescent="0.3">
      <c r="A116" s="7">
        <f t="shared" si="2"/>
        <v>115</v>
      </c>
      <c r="B116" t="str">
        <f t="shared" ref="B116:B138" si="4">B115</f>
        <v>CPG-51</v>
      </c>
      <c r="H116" s="1"/>
    </row>
    <row r="117" spans="1:8" x14ac:dyDescent="0.3">
      <c r="A117" s="7">
        <f t="shared" si="2"/>
        <v>116</v>
      </c>
      <c r="B117" t="str">
        <f t="shared" si="4"/>
        <v>CPG-51</v>
      </c>
      <c r="H117" s="1"/>
    </row>
    <row r="118" spans="1:8" x14ac:dyDescent="0.3">
      <c r="A118" s="7">
        <f t="shared" si="2"/>
        <v>117</v>
      </c>
      <c r="B118" t="str">
        <f t="shared" si="4"/>
        <v>CPG-51</v>
      </c>
      <c r="H118" s="1"/>
    </row>
    <row r="119" spans="1:8" x14ac:dyDescent="0.3">
      <c r="A119" s="7">
        <f t="shared" si="2"/>
        <v>118</v>
      </c>
      <c r="B119" t="str">
        <f t="shared" si="4"/>
        <v>CPG-51</v>
      </c>
      <c r="H119" s="1"/>
    </row>
    <row r="120" spans="1:8" x14ac:dyDescent="0.3">
      <c r="A120" s="7">
        <f t="shared" si="2"/>
        <v>119</v>
      </c>
      <c r="B120" t="str">
        <f t="shared" si="4"/>
        <v>CPG-51</v>
      </c>
      <c r="H120" s="1"/>
    </row>
    <row r="121" spans="1:8" x14ac:dyDescent="0.3">
      <c r="A121" s="7">
        <f t="shared" si="2"/>
        <v>120</v>
      </c>
      <c r="B121" t="str">
        <f t="shared" si="4"/>
        <v>CPG-51</v>
      </c>
      <c r="H121" s="1"/>
    </row>
    <row r="122" spans="1:8" x14ac:dyDescent="0.3">
      <c r="A122" s="7">
        <f t="shared" si="2"/>
        <v>121</v>
      </c>
      <c r="B122" t="str">
        <f t="shared" si="4"/>
        <v>CPG-51</v>
      </c>
      <c r="H122" s="1"/>
    </row>
    <row r="123" spans="1:8" x14ac:dyDescent="0.3">
      <c r="A123" s="7">
        <f t="shared" si="2"/>
        <v>122</v>
      </c>
      <c r="B123" t="str">
        <f t="shared" si="4"/>
        <v>CPG-51</v>
      </c>
      <c r="H123" s="1"/>
    </row>
    <row r="124" spans="1:8" x14ac:dyDescent="0.3">
      <c r="A124" s="7">
        <f t="shared" si="2"/>
        <v>123</v>
      </c>
      <c r="B124" t="str">
        <f t="shared" si="4"/>
        <v>CPG-51</v>
      </c>
      <c r="H124" s="1"/>
    </row>
    <row r="125" spans="1:8" x14ac:dyDescent="0.3">
      <c r="A125" s="7">
        <f t="shared" si="2"/>
        <v>124</v>
      </c>
      <c r="B125" t="str">
        <f t="shared" si="4"/>
        <v>CPG-51</v>
      </c>
      <c r="H125" s="1"/>
    </row>
    <row r="126" spans="1:8" x14ac:dyDescent="0.3">
      <c r="A126" s="7">
        <f t="shared" si="2"/>
        <v>125</v>
      </c>
      <c r="B126" t="str">
        <f t="shared" si="4"/>
        <v>CPG-51</v>
      </c>
      <c r="H126" s="1"/>
    </row>
    <row r="127" spans="1:8" x14ac:dyDescent="0.3">
      <c r="A127" s="7">
        <f t="shared" si="2"/>
        <v>126</v>
      </c>
      <c r="B127" t="str">
        <f t="shared" si="4"/>
        <v>CPG-51</v>
      </c>
      <c r="H127" s="1"/>
    </row>
    <row r="128" spans="1:8" x14ac:dyDescent="0.3">
      <c r="A128" s="7">
        <f t="shared" si="2"/>
        <v>127</v>
      </c>
      <c r="B128" t="str">
        <f>B127</f>
        <v>CPG-51</v>
      </c>
      <c r="H128" s="1"/>
    </row>
    <row r="129" spans="1:8" x14ac:dyDescent="0.3">
      <c r="A129" s="7">
        <f t="shared" si="2"/>
        <v>128</v>
      </c>
      <c r="B129" t="str">
        <f t="shared" si="4"/>
        <v>CPG-51</v>
      </c>
      <c r="H129" s="1"/>
    </row>
    <row r="130" spans="1:8" x14ac:dyDescent="0.3">
      <c r="A130" s="7">
        <f t="shared" si="2"/>
        <v>129</v>
      </c>
      <c r="B130" t="str">
        <f t="shared" si="4"/>
        <v>CPG-51</v>
      </c>
      <c r="H130" s="1"/>
    </row>
    <row r="131" spans="1:8" x14ac:dyDescent="0.3">
      <c r="A131" s="7">
        <f t="shared" si="2"/>
        <v>130</v>
      </c>
      <c r="B131" t="str">
        <f t="shared" si="4"/>
        <v>CPG-51</v>
      </c>
      <c r="H131" s="1"/>
    </row>
    <row r="132" spans="1:8" x14ac:dyDescent="0.3">
      <c r="A132" s="7">
        <f t="shared" si="2"/>
        <v>131</v>
      </c>
      <c r="B132" t="str">
        <f t="shared" si="4"/>
        <v>CPG-51</v>
      </c>
      <c r="H132" s="1"/>
    </row>
    <row r="133" spans="1:8" x14ac:dyDescent="0.3">
      <c r="A133" s="7">
        <f t="shared" si="2"/>
        <v>132</v>
      </c>
      <c r="B133" t="str">
        <f t="shared" si="4"/>
        <v>CPG-51</v>
      </c>
      <c r="H133" s="1"/>
    </row>
    <row r="134" spans="1:8" x14ac:dyDescent="0.3">
      <c r="A134" s="7">
        <f t="shared" si="2"/>
        <v>133</v>
      </c>
      <c r="B134" t="str">
        <f t="shared" si="4"/>
        <v>CPG-51</v>
      </c>
      <c r="H134" s="1"/>
    </row>
    <row r="135" spans="1:8" x14ac:dyDescent="0.3">
      <c r="A135" s="7">
        <f t="shared" si="2"/>
        <v>134</v>
      </c>
      <c r="B135" t="str">
        <f t="shared" si="4"/>
        <v>CPG-51</v>
      </c>
      <c r="H135" s="1"/>
    </row>
    <row r="136" spans="1:8" x14ac:dyDescent="0.3">
      <c r="A136" s="7">
        <f t="shared" si="2"/>
        <v>135</v>
      </c>
      <c r="B136" t="str">
        <f t="shared" si="4"/>
        <v>CPG-51</v>
      </c>
      <c r="H136" s="1"/>
    </row>
    <row r="137" spans="1:8" x14ac:dyDescent="0.3">
      <c r="A137" s="7">
        <f t="shared" si="2"/>
        <v>136</v>
      </c>
      <c r="B137" t="str">
        <f t="shared" si="4"/>
        <v>CPG-51</v>
      </c>
      <c r="H137" s="1"/>
    </row>
    <row r="138" spans="1:8" x14ac:dyDescent="0.3">
      <c r="A138" s="7">
        <f t="shared" si="2"/>
        <v>137</v>
      </c>
      <c r="B138" t="str">
        <f t="shared" si="4"/>
        <v>CPG-51</v>
      </c>
      <c r="H138" s="1"/>
    </row>
    <row r="139" spans="1:8" x14ac:dyDescent="0.3">
      <c r="A139" s="7">
        <f t="shared" si="2"/>
        <v>138</v>
      </c>
      <c r="H139" s="1"/>
    </row>
    <row r="140" spans="1:8" x14ac:dyDescent="0.3">
      <c r="A140" s="7">
        <f t="shared" ref="A140:A144" si="5">A139+1</f>
        <v>139</v>
      </c>
      <c r="H140" s="1"/>
    </row>
    <row r="141" spans="1:8" x14ac:dyDescent="0.3">
      <c r="A141" s="7">
        <f t="shared" si="5"/>
        <v>140</v>
      </c>
      <c r="H141" s="1"/>
    </row>
    <row r="142" spans="1:8" x14ac:dyDescent="0.3">
      <c r="A142" s="7">
        <f t="shared" si="5"/>
        <v>141</v>
      </c>
      <c r="H142" s="1"/>
    </row>
    <row r="143" spans="1:8" x14ac:dyDescent="0.3">
      <c r="A143" s="7">
        <f t="shared" si="5"/>
        <v>142</v>
      </c>
      <c r="H143" s="1"/>
    </row>
    <row r="144" spans="1:8" x14ac:dyDescent="0.3">
      <c r="A144" s="7">
        <f t="shared" si="5"/>
        <v>143</v>
      </c>
      <c r="H144" s="1"/>
    </row>
    <row r="145" spans="1:8" x14ac:dyDescent="0.3">
      <c r="A145" s="7"/>
      <c r="H145" s="1"/>
    </row>
    <row r="146" spans="1:8" x14ac:dyDescent="0.3">
      <c r="A146" s="7"/>
      <c r="H146" s="1"/>
    </row>
    <row r="147" spans="1:8" x14ac:dyDescent="0.3">
      <c r="A147" s="7"/>
      <c r="H147" s="1"/>
    </row>
    <row r="148" spans="1:8" x14ac:dyDescent="0.3">
      <c r="A148" s="7"/>
      <c r="H148" s="1"/>
    </row>
  </sheetData>
  <phoneticPr fontId="4" type="noConversion"/>
  <conditionalFormatting sqref="G2:G1000">
    <cfRule type="cellIs" dxfId="1" priority="1" operator="equal">
      <formula>"Pass"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1FDF2-4411-4308-8CBE-EB2AC5F7C441}">
  <dimension ref="A1:I10"/>
  <sheetViews>
    <sheetView zoomScaleNormal="100" workbookViewId="0">
      <selection sqref="A1:A1048576"/>
    </sheetView>
  </sheetViews>
  <sheetFormatPr defaultRowHeight="14.4" x14ac:dyDescent="0.3"/>
  <cols>
    <col min="3" max="3" width="27.6640625" customWidth="1"/>
    <col min="4" max="4" width="55.88671875" customWidth="1"/>
    <col min="5" max="5" width="50" customWidth="1"/>
    <col min="6" max="6" width="53.33203125" customWidth="1"/>
    <col min="7" max="7" width="13.109375" customWidth="1"/>
    <col min="8" max="8" width="22.88671875" customWidth="1"/>
    <col min="9" max="9" width="19.33203125" customWidth="1"/>
  </cols>
  <sheetData>
    <row r="1" spans="1:9" x14ac:dyDescent="0.3">
      <c r="A1" s="8" t="s">
        <v>0</v>
      </c>
      <c r="B1" s="8" t="s">
        <v>1</v>
      </c>
      <c r="C1" s="8" t="s">
        <v>44</v>
      </c>
      <c r="D1" s="8" t="s">
        <v>3</v>
      </c>
      <c r="E1" s="8" t="s">
        <v>45</v>
      </c>
      <c r="F1" s="8" t="s">
        <v>5</v>
      </c>
      <c r="G1" s="9" t="s">
        <v>6</v>
      </c>
      <c r="H1" s="8" t="s">
        <v>7</v>
      </c>
      <c r="I1" s="8" t="s">
        <v>8</v>
      </c>
    </row>
    <row r="2" spans="1:9" ht="16.2" customHeight="1" x14ac:dyDescent="0.3">
      <c r="A2">
        <v>1</v>
      </c>
      <c r="B2">
        <v>1</v>
      </c>
      <c r="C2" s="10" t="s">
        <v>46</v>
      </c>
      <c r="D2" s="10" t="s">
        <v>47</v>
      </c>
      <c r="E2" s="10" t="s">
        <v>48</v>
      </c>
      <c r="F2" s="11" t="s">
        <v>48</v>
      </c>
      <c r="G2" s="12" t="s">
        <v>10</v>
      </c>
      <c r="H2" s="1">
        <v>45965</v>
      </c>
      <c r="I2" t="s">
        <v>49</v>
      </c>
    </row>
    <row r="3" spans="1:9" ht="13.8" customHeight="1" x14ac:dyDescent="0.3">
      <c r="A3">
        <v>2</v>
      </c>
      <c r="B3">
        <v>2</v>
      </c>
      <c r="C3" t="s">
        <v>50</v>
      </c>
      <c r="D3" s="10" t="s">
        <v>51</v>
      </c>
      <c r="E3" t="s">
        <v>52</v>
      </c>
      <c r="F3" s="13" t="s">
        <v>52</v>
      </c>
      <c r="G3" s="14" t="s">
        <v>10</v>
      </c>
      <c r="H3" s="15">
        <v>45965</v>
      </c>
      <c r="I3" s="13" t="s">
        <v>49</v>
      </c>
    </row>
    <row r="4" spans="1:9" ht="15" customHeight="1" x14ac:dyDescent="0.3">
      <c r="A4">
        <v>3</v>
      </c>
      <c r="B4">
        <v>3</v>
      </c>
      <c r="C4" t="s">
        <v>53</v>
      </c>
      <c r="D4" s="11" t="s">
        <v>54</v>
      </c>
      <c r="E4" s="13" t="s">
        <v>52</v>
      </c>
      <c r="F4" s="13" t="s">
        <v>52</v>
      </c>
      <c r="G4" s="14" t="s">
        <v>10</v>
      </c>
      <c r="H4" s="15">
        <v>45965</v>
      </c>
      <c r="I4" s="13" t="s">
        <v>49</v>
      </c>
    </row>
    <row r="5" spans="1:9" x14ac:dyDescent="0.3">
      <c r="A5">
        <v>4</v>
      </c>
      <c r="B5">
        <v>4</v>
      </c>
      <c r="C5" t="s">
        <v>55</v>
      </c>
      <c r="D5" t="s">
        <v>56</v>
      </c>
      <c r="E5" t="s">
        <v>57</v>
      </c>
      <c r="F5" t="s">
        <v>58</v>
      </c>
      <c r="G5" s="14" t="s">
        <v>10</v>
      </c>
      <c r="H5" s="1">
        <v>46044</v>
      </c>
      <c r="I5" s="13" t="s">
        <v>49</v>
      </c>
    </row>
    <row r="6" spans="1:9" x14ac:dyDescent="0.3">
      <c r="A6">
        <v>5</v>
      </c>
      <c r="B6">
        <v>5</v>
      </c>
      <c r="C6" t="s">
        <v>59</v>
      </c>
      <c r="D6" t="s">
        <v>56</v>
      </c>
      <c r="E6" t="s">
        <v>60</v>
      </c>
      <c r="F6" t="s">
        <v>61</v>
      </c>
      <c r="G6" s="14" t="s">
        <v>10</v>
      </c>
      <c r="H6" s="1">
        <v>46044</v>
      </c>
      <c r="I6" s="13" t="s">
        <v>49</v>
      </c>
    </row>
    <row r="7" spans="1:9" x14ac:dyDescent="0.3">
      <c r="A7">
        <v>6</v>
      </c>
      <c r="B7">
        <v>6</v>
      </c>
      <c r="C7" t="s">
        <v>62</v>
      </c>
      <c r="D7" t="s">
        <v>63</v>
      </c>
      <c r="E7" t="s">
        <v>64</v>
      </c>
      <c r="F7" t="s">
        <v>65</v>
      </c>
      <c r="G7" s="14" t="s">
        <v>10</v>
      </c>
      <c r="H7" s="1">
        <v>46044</v>
      </c>
      <c r="I7" s="13" t="s">
        <v>49</v>
      </c>
    </row>
    <row r="8" spans="1:9" x14ac:dyDescent="0.3">
      <c r="A8">
        <v>7</v>
      </c>
      <c r="B8">
        <v>7</v>
      </c>
      <c r="C8" t="s">
        <v>62</v>
      </c>
      <c r="D8" t="s">
        <v>66</v>
      </c>
      <c r="E8" t="s">
        <v>67</v>
      </c>
      <c r="F8" t="s">
        <v>68</v>
      </c>
      <c r="G8" s="14" t="s">
        <v>10</v>
      </c>
      <c r="H8" s="1">
        <v>46044</v>
      </c>
      <c r="I8" s="13" t="s">
        <v>49</v>
      </c>
    </row>
    <row r="9" spans="1:9" x14ac:dyDescent="0.3">
      <c r="A9">
        <v>8</v>
      </c>
      <c r="B9">
        <v>8</v>
      </c>
      <c r="C9" t="s">
        <v>62</v>
      </c>
      <c r="D9" t="s">
        <v>69</v>
      </c>
      <c r="E9" t="s">
        <v>70</v>
      </c>
      <c r="F9" t="s">
        <v>71</v>
      </c>
      <c r="G9" s="14" t="s">
        <v>10</v>
      </c>
      <c r="H9" s="1">
        <v>46044</v>
      </c>
      <c r="I9" s="13" t="s">
        <v>49</v>
      </c>
    </row>
    <row r="10" spans="1:9" x14ac:dyDescent="0.3">
      <c r="A10">
        <v>9</v>
      </c>
      <c r="B10">
        <v>9</v>
      </c>
      <c r="C10" t="s">
        <v>72</v>
      </c>
      <c r="D10" t="s">
        <v>73</v>
      </c>
      <c r="E10" t="s">
        <v>74</v>
      </c>
      <c r="F10" t="s">
        <v>75</v>
      </c>
      <c r="G10" s="14" t="s">
        <v>10</v>
      </c>
      <c r="H10" s="1">
        <v>46044</v>
      </c>
      <c r="I10" s="13" t="s">
        <v>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F15D8-A232-460E-9A7B-DBC7D6F4037B}">
  <dimension ref="A1:I43"/>
  <sheetViews>
    <sheetView topLeftCell="D25" workbookViewId="0">
      <selection activeCell="D19" sqref="D19"/>
    </sheetView>
  </sheetViews>
  <sheetFormatPr defaultRowHeight="14.4" x14ac:dyDescent="0.3"/>
  <cols>
    <col min="1" max="1" width="11.44140625" customWidth="1"/>
    <col min="3" max="3" width="43.5546875" customWidth="1"/>
    <col min="4" max="4" width="96.77734375" customWidth="1"/>
    <col min="5" max="5" width="65" customWidth="1"/>
    <col min="6" max="6" width="44.109375" customWidth="1"/>
    <col min="7" max="7" width="12.21875" customWidth="1"/>
    <col min="8" max="8" width="21.6640625" customWidth="1"/>
    <col min="9" max="9" width="22.33203125" customWidth="1"/>
  </cols>
  <sheetData>
    <row r="1" spans="1:9" x14ac:dyDescent="0.3">
      <c r="A1" t="s">
        <v>76</v>
      </c>
    </row>
    <row r="2" spans="1:9" x14ac:dyDescent="0.3">
      <c r="A2" t="s">
        <v>0</v>
      </c>
      <c r="B2" t="s">
        <v>1</v>
      </c>
      <c r="C2" t="s">
        <v>77</v>
      </c>
      <c r="D2" t="s">
        <v>78</v>
      </c>
      <c r="E2" t="s">
        <v>79</v>
      </c>
      <c r="F2" t="s">
        <v>80</v>
      </c>
      <c r="G2" t="s">
        <v>6</v>
      </c>
      <c r="H2" t="s">
        <v>7</v>
      </c>
      <c r="I2" t="s">
        <v>81</v>
      </c>
    </row>
    <row r="3" spans="1:9" x14ac:dyDescent="0.3">
      <c r="A3">
        <v>1</v>
      </c>
      <c r="B3">
        <v>1</v>
      </c>
      <c r="C3" t="s">
        <v>82</v>
      </c>
      <c r="D3" t="s">
        <v>83</v>
      </c>
      <c r="E3" t="s">
        <v>84</v>
      </c>
      <c r="F3" t="s">
        <v>85</v>
      </c>
      <c r="G3" t="s">
        <v>10</v>
      </c>
      <c r="H3" s="1">
        <v>45933</v>
      </c>
      <c r="I3" t="s">
        <v>86</v>
      </c>
    </row>
    <row r="4" spans="1:9" x14ac:dyDescent="0.3">
      <c r="A4">
        <v>2</v>
      </c>
      <c r="B4">
        <v>2</v>
      </c>
      <c r="C4" t="s">
        <v>87</v>
      </c>
      <c r="D4" t="s">
        <v>88</v>
      </c>
      <c r="E4" t="s">
        <v>89</v>
      </c>
      <c r="F4" t="s">
        <v>90</v>
      </c>
      <c r="G4" t="s">
        <v>10</v>
      </c>
      <c r="H4" s="1">
        <v>45934</v>
      </c>
      <c r="I4" t="s">
        <v>86</v>
      </c>
    </row>
    <row r="5" spans="1:9" x14ac:dyDescent="0.3">
      <c r="A5">
        <v>3</v>
      </c>
      <c r="B5">
        <v>3</v>
      </c>
      <c r="C5" t="s">
        <v>91</v>
      </c>
      <c r="D5" t="s">
        <v>92</v>
      </c>
      <c r="E5" t="s">
        <v>93</v>
      </c>
      <c r="F5" t="s">
        <v>94</v>
      </c>
      <c r="G5" t="s">
        <v>10</v>
      </c>
      <c r="H5" s="1">
        <v>45935</v>
      </c>
      <c r="I5" t="s">
        <v>86</v>
      </c>
    </row>
    <row r="6" spans="1:9" x14ac:dyDescent="0.3">
      <c r="A6">
        <v>4</v>
      </c>
      <c r="B6">
        <v>4</v>
      </c>
      <c r="C6" t="s">
        <v>95</v>
      </c>
      <c r="D6" t="s">
        <v>96</v>
      </c>
      <c r="E6" t="s">
        <v>97</v>
      </c>
      <c r="F6" t="s">
        <v>98</v>
      </c>
      <c r="G6" t="s">
        <v>10</v>
      </c>
      <c r="H6" s="1">
        <v>45936</v>
      </c>
      <c r="I6" t="s">
        <v>86</v>
      </c>
    </row>
    <row r="7" spans="1:9" x14ac:dyDescent="0.3">
      <c r="A7">
        <v>5</v>
      </c>
      <c r="B7">
        <v>5</v>
      </c>
      <c r="C7" t="s">
        <v>99</v>
      </c>
      <c r="D7" t="s">
        <v>100</v>
      </c>
      <c r="E7" t="s">
        <v>101</v>
      </c>
      <c r="F7" t="s">
        <v>102</v>
      </c>
      <c r="G7" t="s">
        <v>10</v>
      </c>
      <c r="H7" s="1">
        <v>45945</v>
      </c>
      <c r="I7" t="s">
        <v>86</v>
      </c>
    </row>
    <row r="8" spans="1:9" x14ac:dyDescent="0.3">
      <c r="A8">
        <v>6</v>
      </c>
      <c r="B8">
        <v>6</v>
      </c>
      <c r="C8" t="s">
        <v>103</v>
      </c>
      <c r="D8" t="s">
        <v>104</v>
      </c>
      <c r="E8" t="s">
        <v>84</v>
      </c>
      <c r="F8" t="s">
        <v>85</v>
      </c>
      <c r="G8" t="s">
        <v>10</v>
      </c>
      <c r="H8" s="1">
        <v>45946</v>
      </c>
      <c r="I8" t="s">
        <v>86</v>
      </c>
    </row>
    <row r="10" spans="1:9" x14ac:dyDescent="0.3">
      <c r="A10" t="s">
        <v>105</v>
      </c>
    </row>
    <row r="11" spans="1:9" x14ac:dyDescent="0.3">
      <c r="A11" t="s">
        <v>0</v>
      </c>
      <c r="B11" t="s">
        <v>1</v>
      </c>
      <c r="C11" t="s">
        <v>77</v>
      </c>
      <c r="D11" t="s">
        <v>78</v>
      </c>
      <c r="E11" t="s">
        <v>79</v>
      </c>
      <c r="F11" t="s">
        <v>80</v>
      </c>
      <c r="G11" t="s">
        <v>6</v>
      </c>
      <c r="H11" t="s">
        <v>7</v>
      </c>
      <c r="I11" t="s">
        <v>81</v>
      </c>
    </row>
    <row r="12" spans="1:9" x14ac:dyDescent="0.3">
      <c r="A12">
        <v>7</v>
      </c>
      <c r="B12">
        <v>7</v>
      </c>
      <c r="C12" t="s">
        <v>106</v>
      </c>
      <c r="D12" t="s">
        <v>107</v>
      </c>
      <c r="E12" t="s">
        <v>108</v>
      </c>
      <c r="F12" t="s">
        <v>109</v>
      </c>
      <c r="G12" t="s">
        <v>10</v>
      </c>
      <c r="H12" s="1">
        <v>45937</v>
      </c>
      <c r="I12" t="s">
        <v>86</v>
      </c>
    </row>
    <row r="13" spans="1:9" x14ac:dyDescent="0.3">
      <c r="A13">
        <v>8</v>
      </c>
      <c r="B13">
        <v>8</v>
      </c>
      <c r="C13" t="s">
        <v>110</v>
      </c>
      <c r="D13" t="s">
        <v>111</v>
      </c>
      <c r="E13" t="s">
        <v>112</v>
      </c>
      <c r="F13" t="s">
        <v>113</v>
      </c>
      <c r="G13" t="s">
        <v>10</v>
      </c>
      <c r="H13" s="1">
        <v>45938</v>
      </c>
      <c r="I13" t="s">
        <v>86</v>
      </c>
    </row>
    <row r="14" spans="1:9" x14ac:dyDescent="0.3">
      <c r="A14">
        <v>9</v>
      </c>
      <c r="B14">
        <v>9</v>
      </c>
      <c r="C14" t="s">
        <v>114</v>
      </c>
      <c r="D14" t="s">
        <v>115</v>
      </c>
      <c r="E14" t="s">
        <v>116</v>
      </c>
      <c r="F14" t="s">
        <v>117</v>
      </c>
      <c r="G14" t="s">
        <v>10</v>
      </c>
      <c r="H14" s="1">
        <v>45939</v>
      </c>
      <c r="I14" t="s">
        <v>86</v>
      </c>
    </row>
    <row r="15" spans="1:9" x14ac:dyDescent="0.3">
      <c r="A15">
        <v>10</v>
      </c>
      <c r="B15">
        <v>10</v>
      </c>
      <c r="C15" t="s">
        <v>118</v>
      </c>
      <c r="D15" t="s">
        <v>119</v>
      </c>
      <c r="E15" t="s">
        <v>120</v>
      </c>
      <c r="F15" t="s">
        <v>121</v>
      </c>
      <c r="G15" t="s">
        <v>10</v>
      </c>
      <c r="H15" s="1">
        <v>45940</v>
      </c>
      <c r="I15" t="s">
        <v>86</v>
      </c>
    </row>
    <row r="17" spans="1:9" x14ac:dyDescent="0.3">
      <c r="A17" t="s">
        <v>122</v>
      </c>
    </row>
    <row r="18" spans="1:9" x14ac:dyDescent="0.3">
      <c r="A18" t="s">
        <v>0</v>
      </c>
      <c r="B18" t="s">
        <v>1</v>
      </c>
      <c r="C18" t="s">
        <v>77</v>
      </c>
      <c r="D18" t="s">
        <v>78</v>
      </c>
      <c r="E18" t="s">
        <v>79</v>
      </c>
      <c r="F18" t="s">
        <v>80</v>
      </c>
      <c r="G18" t="s">
        <v>6</v>
      </c>
      <c r="H18" t="s">
        <v>7</v>
      </c>
      <c r="I18" t="s">
        <v>81</v>
      </c>
    </row>
    <row r="19" spans="1:9" x14ac:dyDescent="0.3">
      <c r="A19">
        <v>11</v>
      </c>
      <c r="B19">
        <v>11</v>
      </c>
      <c r="C19" t="s">
        <v>123</v>
      </c>
      <c r="D19" t="s">
        <v>124</v>
      </c>
      <c r="E19" t="s">
        <v>125</v>
      </c>
      <c r="F19" t="s">
        <v>126</v>
      </c>
      <c r="G19" t="s">
        <v>10</v>
      </c>
      <c r="H19" s="1">
        <v>45962</v>
      </c>
      <c r="I19" t="s">
        <v>86</v>
      </c>
    </row>
    <row r="20" spans="1:9" x14ac:dyDescent="0.3">
      <c r="A20">
        <v>12</v>
      </c>
      <c r="B20">
        <v>12</v>
      </c>
      <c r="C20" t="s">
        <v>127</v>
      </c>
      <c r="D20" t="s">
        <v>128</v>
      </c>
      <c r="E20" t="s">
        <v>129</v>
      </c>
      <c r="F20" t="s">
        <v>130</v>
      </c>
      <c r="G20" t="s">
        <v>10</v>
      </c>
      <c r="H20" s="1">
        <v>45963</v>
      </c>
      <c r="I20" t="s">
        <v>86</v>
      </c>
    </row>
    <row r="21" spans="1:9" x14ac:dyDescent="0.3">
      <c r="A21">
        <v>13</v>
      </c>
      <c r="B21">
        <v>13</v>
      </c>
      <c r="C21" t="s">
        <v>131</v>
      </c>
      <c r="D21" t="s">
        <v>132</v>
      </c>
      <c r="E21" t="s">
        <v>116</v>
      </c>
      <c r="F21" t="s">
        <v>133</v>
      </c>
      <c r="G21" t="s">
        <v>10</v>
      </c>
      <c r="H21" s="1">
        <v>45964</v>
      </c>
      <c r="I21" t="s">
        <v>86</v>
      </c>
    </row>
    <row r="22" spans="1:9" x14ac:dyDescent="0.3">
      <c r="A22">
        <v>14</v>
      </c>
      <c r="B22">
        <v>14</v>
      </c>
      <c r="C22" t="s">
        <v>134</v>
      </c>
      <c r="D22" t="s">
        <v>135</v>
      </c>
      <c r="E22" t="s">
        <v>136</v>
      </c>
      <c r="F22" t="s">
        <v>137</v>
      </c>
      <c r="G22" t="s">
        <v>10</v>
      </c>
      <c r="H22" s="1">
        <v>45965</v>
      </c>
      <c r="I22" t="s">
        <v>86</v>
      </c>
    </row>
    <row r="24" spans="1:9" x14ac:dyDescent="0.3">
      <c r="A24" t="s">
        <v>138</v>
      </c>
    </row>
    <row r="25" spans="1:9" x14ac:dyDescent="0.3">
      <c r="A25" t="s">
        <v>0</v>
      </c>
      <c r="B25" t="s">
        <v>1</v>
      </c>
      <c r="C25" t="s">
        <v>77</v>
      </c>
      <c r="D25" t="s">
        <v>78</v>
      </c>
      <c r="E25" t="s">
        <v>79</v>
      </c>
      <c r="F25" t="s">
        <v>80</v>
      </c>
      <c r="G25" t="s">
        <v>6</v>
      </c>
      <c r="H25" t="s">
        <v>7</v>
      </c>
      <c r="I25" t="s">
        <v>81</v>
      </c>
    </row>
    <row r="26" spans="1:9" x14ac:dyDescent="0.3">
      <c r="A26">
        <v>15</v>
      </c>
      <c r="B26">
        <v>15</v>
      </c>
      <c r="C26" t="s">
        <v>139</v>
      </c>
      <c r="D26" t="s">
        <v>140</v>
      </c>
      <c r="E26" t="s">
        <v>141</v>
      </c>
      <c r="F26" t="s">
        <v>142</v>
      </c>
      <c r="G26" t="s">
        <v>10</v>
      </c>
      <c r="H26" s="1">
        <v>45966</v>
      </c>
      <c r="I26" t="s">
        <v>86</v>
      </c>
    </row>
    <row r="27" spans="1:9" x14ac:dyDescent="0.3">
      <c r="A27">
        <v>16</v>
      </c>
      <c r="B27">
        <v>16</v>
      </c>
      <c r="C27" t="s">
        <v>143</v>
      </c>
      <c r="D27" t="s">
        <v>144</v>
      </c>
      <c r="E27" t="s">
        <v>145</v>
      </c>
      <c r="F27" t="s">
        <v>146</v>
      </c>
      <c r="G27" t="s">
        <v>10</v>
      </c>
      <c r="H27" s="1">
        <v>45967</v>
      </c>
      <c r="I27" t="s">
        <v>86</v>
      </c>
    </row>
    <row r="28" spans="1:9" x14ac:dyDescent="0.3">
      <c r="A28">
        <v>17</v>
      </c>
      <c r="B28">
        <v>17</v>
      </c>
      <c r="C28" t="s">
        <v>147</v>
      </c>
      <c r="D28" t="s">
        <v>148</v>
      </c>
      <c r="E28" t="s">
        <v>149</v>
      </c>
      <c r="F28" t="s">
        <v>150</v>
      </c>
      <c r="G28" t="s">
        <v>10</v>
      </c>
      <c r="H28" s="1">
        <v>45968</v>
      </c>
      <c r="I28" t="s">
        <v>86</v>
      </c>
    </row>
    <row r="29" spans="1:9" x14ac:dyDescent="0.3">
      <c r="A29">
        <v>18</v>
      </c>
      <c r="B29">
        <v>18</v>
      </c>
      <c r="C29" t="s">
        <v>151</v>
      </c>
      <c r="D29" t="s">
        <v>152</v>
      </c>
      <c r="E29" t="s">
        <v>153</v>
      </c>
      <c r="F29" t="s">
        <v>154</v>
      </c>
      <c r="G29" t="s">
        <v>10</v>
      </c>
      <c r="H29" s="1">
        <v>45969</v>
      </c>
      <c r="I29" t="s">
        <v>86</v>
      </c>
    </row>
    <row r="31" spans="1:9" x14ac:dyDescent="0.3">
      <c r="A31" t="s">
        <v>155</v>
      </c>
    </row>
    <row r="32" spans="1:9" x14ac:dyDescent="0.3">
      <c r="A32" t="s">
        <v>0</v>
      </c>
      <c r="B32" t="s">
        <v>1</v>
      </c>
      <c r="C32" t="s">
        <v>77</v>
      </c>
      <c r="D32" t="s">
        <v>78</v>
      </c>
      <c r="E32" t="s">
        <v>79</v>
      </c>
      <c r="F32" t="s">
        <v>80</v>
      </c>
      <c r="G32" t="s">
        <v>6</v>
      </c>
      <c r="H32" t="s">
        <v>7</v>
      </c>
      <c r="I32" t="s">
        <v>81</v>
      </c>
    </row>
    <row r="33" spans="1:9" x14ac:dyDescent="0.3">
      <c r="A33">
        <v>19</v>
      </c>
      <c r="B33">
        <v>19</v>
      </c>
      <c r="C33" t="s">
        <v>156</v>
      </c>
      <c r="D33" t="s">
        <v>157</v>
      </c>
      <c r="E33" t="s">
        <v>158</v>
      </c>
      <c r="F33" t="s">
        <v>159</v>
      </c>
      <c r="G33" t="s">
        <v>10</v>
      </c>
      <c r="H33" s="1">
        <v>45941</v>
      </c>
      <c r="I33" t="s">
        <v>86</v>
      </c>
    </row>
    <row r="34" spans="1:9" x14ac:dyDescent="0.3">
      <c r="A34">
        <v>20</v>
      </c>
      <c r="B34">
        <v>20</v>
      </c>
      <c r="C34" t="s">
        <v>160</v>
      </c>
      <c r="D34" t="s">
        <v>161</v>
      </c>
      <c r="E34" t="s">
        <v>162</v>
      </c>
      <c r="F34" t="s">
        <v>163</v>
      </c>
      <c r="G34" t="s">
        <v>10</v>
      </c>
      <c r="H34" s="1">
        <v>45942</v>
      </c>
      <c r="I34" t="s">
        <v>86</v>
      </c>
    </row>
    <row r="35" spans="1:9" x14ac:dyDescent="0.3">
      <c r="A35">
        <v>21</v>
      </c>
      <c r="B35">
        <v>21</v>
      </c>
      <c r="C35" t="s">
        <v>164</v>
      </c>
      <c r="D35" t="s">
        <v>165</v>
      </c>
      <c r="E35" t="s">
        <v>116</v>
      </c>
      <c r="F35" t="s">
        <v>166</v>
      </c>
      <c r="G35" t="s">
        <v>10</v>
      </c>
      <c r="H35" s="1">
        <v>45943</v>
      </c>
      <c r="I35" t="s">
        <v>86</v>
      </c>
    </row>
    <row r="36" spans="1:9" x14ac:dyDescent="0.3">
      <c r="A36">
        <v>22</v>
      </c>
      <c r="B36">
        <v>22</v>
      </c>
      <c r="C36" t="s">
        <v>167</v>
      </c>
      <c r="D36" t="s">
        <v>168</v>
      </c>
      <c r="E36" t="s">
        <v>169</v>
      </c>
      <c r="F36" t="s">
        <v>170</v>
      </c>
      <c r="G36" t="s">
        <v>10</v>
      </c>
      <c r="H36" s="1">
        <v>45944</v>
      </c>
      <c r="I36" t="s">
        <v>86</v>
      </c>
    </row>
    <row r="38" spans="1:9" x14ac:dyDescent="0.3">
      <c r="A38" t="s">
        <v>171</v>
      </c>
    </row>
    <row r="39" spans="1:9" x14ac:dyDescent="0.3">
      <c r="A39" t="s">
        <v>0</v>
      </c>
      <c r="B39" t="s">
        <v>1</v>
      </c>
      <c r="C39" t="s">
        <v>77</v>
      </c>
      <c r="D39" t="s">
        <v>78</v>
      </c>
      <c r="E39" t="s">
        <v>79</v>
      </c>
      <c r="F39" t="s">
        <v>80</v>
      </c>
      <c r="G39" t="s">
        <v>6</v>
      </c>
      <c r="H39" t="s">
        <v>7</v>
      </c>
      <c r="I39" t="s">
        <v>81</v>
      </c>
    </row>
    <row r="40" spans="1:9" x14ac:dyDescent="0.3">
      <c r="A40">
        <v>23</v>
      </c>
      <c r="B40">
        <v>23</v>
      </c>
      <c r="C40" t="s">
        <v>172</v>
      </c>
      <c r="D40" t="s">
        <v>173</v>
      </c>
      <c r="E40" t="s">
        <v>174</v>
      </c>
      <c r="F40" t="s">
        <v>175</v>
      </c>
      <c r="G40" t="s">
        <v>10</v>
      </c>
      <c r="H40" s="1">
        <v>45970</v>
      </c>
      <c r="I40" t="s">
        <v>86</v>
      </c>
    </row>
    <row r="41" spans="1:9" x14ac:dyDescent="0.3">
      <c r="A41">
        <v>24</v>
      </c>
      <c r="B41">
        <v>24</v>
      </c>
      <c r="C41" t="s">
        <v>176</v>
      </c>
      <c r="D41" t="s">
        <v>177</v>
      </c>
      <c r="E41" t="s">
        <v>178</v>
      </c>
      <c r="F41" t="s">
        <v>179</v>
      </c>
      <c r="G41" t="s">
        <v>10</v>
      </c>
      <c r="H41" s="1">
        <v>45971</v>
      </c>
      <c r="I41" t="s">
        <v>86</v>
      </c>
    </row>
    <row r="42" spans="1:9" x14ac:dyDescent="0.3">
      <c r="A42">
        <v>25</v>
      </c>
      <c r="B42">
        <v>25</v>
      </c>
      <c r="C42" t="s">
        <v>180</v>
      </c>
      <c r="D42" t="s">
        <v>181</v>
      </c>
      <c r="E42" t="s">
        <v>182</v>
      </c>
      <c r="F42" t="s">
        <v>183</v>
      </c>
      <c r="G42" t="s">
        <v>10</v>
      </c>
      <c r="H42" s="1">
        <v>45972</v>
      </c>
      <c r="I42" t="s">
        <v>86</v>
      </c>
    </row>
    <row r="43" spans="1:9" x14ac:dyDescent="0.3">
      <c r="A43">
        <v>26</v>
      </c>
      <c r="B43">
        <v>26</v>
      </c>
      <c r="C43" t="s">
        <v>184</v>
      </c>
      <c r="D43" t="s">
        <v>185</v>
      </c>
      <c r="E43" t="s">
        <v>186</v>
      </c>
      <c r="F43" t="s">
        <v>187</v>
      </c>
      <c r="G43" t="s">
        <v>10</v>
      </c>
      <c r="H43" s="1">
        <v>45973</v>
      </c>
      <c r="I43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Backend</vt:lpstr>
      <vt:lpstr>Frontend</vt:lpstr>
      <vt:lpstr>Adatbázis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Pasztor</dc:creator>
  <cp:lastModifiedBy>Pasztor Kevin</cp:lastModifiedBy>
  <dcterms:created xsi:type="dcterms:W3CDTF">2015-06-05T18:17:20Z</dcterms:created>
  <dcterms:modified xsi:type="dcterms:W3CDTF">2026-02-17T12:48:02Z</dcterms:modified>
</cp:coreProperties>
</file>